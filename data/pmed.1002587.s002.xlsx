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MNHS-SPP\2012-RCT-DSPD\Manuscript\1. TLS RCT DeLSoM\6. PLoS Medicine\4. final submit\Supporting Info\Sorted data to upload\"/>
    </mc:Choice>
  </mc:AlternateContent>
  <bookViews>
    <workbookView xWindow="0" yWindow="0" windowWidth="25200" windowHeight="11985" activeTab="2"/>
  </bookViews>
  <sheets>
    <sheet name="demographics" sheetId="2" r:id="rId1"/>
    <sheet name="ITT_demographics" sheetId="5" r:id="rId2"/>
    <sheet name="demog_key" sheetId="1" r:id="rId3"/>
  </sheets>
  <definedNames>
    <definedName name="_xlnm._FilterDatabase" localSheetId="0" hidden="1">demographics!$A$1:$CP$105</definedName>
    <definedName name="_xlnm._FilterDatabase" localSheetId="1" hidden="1">ITT_demographics!$A$1:$M$117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5" l="1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2" i="5"/>
  <c r="K107" i="5"/>
  <c r="K108" i="5"/>
  <c r="K109" i="5"/>
  <c r="K110" i="5"/>
  <c r="K111" i="5"/>
  <c r="K112" i="5"/>
  <c r="K113" i="5"/>
  <c r="K114" i="5"/>
  <c r="K115" i="5"/>
  <c r="K116" i="5"/>
  <c r="K117" i="5"/>
  <c r="K106" i="5"/>
  <c r="J107" i="5"/>
  <c r="J108" i="5"/>
  <c r="J109" i="5"/>
  <c r="J110" i="5"/>
  <c r="J111" i="5"/>
  <c r="J112" i="5"/>
  <c r="J113" i="5"/>
  <c r="J114" i="5"/>
  <c r="J115" i="5"/>
  <c r="J116" i="5"/>
  <c r="J117" i="5"/>
  <c r="J106" i="5"/>
  <c r="J105" i="5"/>
</calcChain>
</file>

<file path=xl/sharedStrings.xml><?xml version="1.0" encoding="utf-8"?>
<sst xmlns="http://schemas.openxmlformats.org/spreadsheetml/2006/main" count="442" uniqueCount="238">
  <si>
    <t>ParticipantID</t>
  </si>
  <si>
    <t>Gender</t>
  </si>
  <si>
    <t>Age</t>
  </si>
  <si>
    <t>Height</t>
  </si>
  <si>
    <t>Weight</t>
  </si>
  <si>
    <t>BMI</t>
  </si>
  <si>
    <t>Treatment</t>
  </si>
  <si>
    <t>PS_DSPDSeverity</t>
  </si>
  <si>
    <t>CMEQ</t>
  </si>
  <si>
    <t>CMEQ_groups</t>
  </si>
  <si>
    <t>DSPDSeverity</t>
  </si>
  <si>
    <t>DSPDDuration</t>
  </si>
  <si>
    <t>DLMO_baseline</t>
  </si>
  <si>
    <t>DLMO_post_treatment</t>
  </si>
  <si>
    <t>DBT</t>
  </si>
  <si>
    <t>DLMO_DBT_Angle</t>
  </si>
  <si>
    <t>DLMO_HBT_baseline_Angle</t>
  </si>
  <si>
    <t>Berlin_1</t>
  </si>
  <si>
    <t>Berlin_2</t>
  </si>
  <si>
    <t>Berlin_3</t>
  </si>
  <si>
    <t>ESS</t>
  </si>
  <si>
    <t>ESS_dichomotised</t>
  </si>
  <si>
    <t>BAI</t>
  </si>
  <si>
    <t>BDI_II</t>
  </si>
  <si>
    <t>ISI</t>
  </si>
  <si>
    <t>ISI_groups</t>
  </si>
  <si>
    <t>PSQI_1</t>
  </si>
  <si>
    <t>PSQI_2</t>
  </si>
  <si>
    <t>PSQI_3</t>
  </si>
  <si>
    <t>PSQI_4</t>
  </si>
  <si>
    <t>PSQI_5</t>
  </si>
  <si>
    <t>PSQI_6</t>
  </si>
  <si>
    <t>PSQI_7</t>
  </si>
  <si>
    <t>PSQI_total</t>
  </si>
  <si>
    <t>PSQI_greater_than_5</t>
  </si>
  <si>
    <t>Sheehan_1</t>
  </si>
  <si>
    <t>Sheehan_2</t>
  </si>
  <si>
    <t>Sheehan_3</t>
  </si>
  <si>
    <t>Sheehan_total</t>
  </si>
  <si>
    <t>Absenteeism</t>
  </si>
  <si>
    <t>Presenteeism</t>
  </si>
  <si>
    <t>ESS_p</t>
  </si>
  <si>
    <t>ESS_p_dichotomised</t>
  </si>
  <si>
    <t>BAI_p</t>
  </si>
  <si>
    <t>BDI_p</t>
  </si>
  <si>
    <t>ISI_p</t>
  </si>
  <si>
    <t>ISI_p_groups</t>
  </si>
  <si>
    <t>PSQI_1_p</t>
  </si>
  <si>
    <t>PSQI_2_p</t>
  </si>
  <si>
    <t>PSQI_3_p</t>
  </si>
  <si>
    <t>PSQI_4_p</t>
  </si>
  <si>
    <t>PSQI_5_p</t>
  </si>
  <si>
    <t>PSQI_6_p</t>
  </si>
  <si>
    <t>PSQI_7_p</t>
  </si>
  <si>
    <t>PSQI_total_p</t>
  </si>
  <si>
    <t>PSQI_p_greater_than_5</t>
  </si>
  <si>
    <t>Sheehan_1_p</t>
  </si>
  <si>
    <t>Sheehan_2_p</t>
  </si>
  <si>
    <t>Sheehan_3_p</t>
  </si>
  <si>
    <t>Sheehan_total_p</t>
  </si>
  <si>
    <t>Absenteeism_p</t>
  </si>
  <si>
    <t>Presenteeism_p</t>
  </si>
  <si>
    <t>CGISQ1</t>
  </si>
  <si>
    <t>CGISQ1_1to2</t>
  </si>
  <si>
    <t>CGISQ1_1to3</t>
  </si>
  <si>
    <t>CGISQ1_p</t>
  </si>
  <si>
    <t>CGISQ1_p1to2</t>
  </si>
  <si>
    <t>CGISQ1_p1to3</t>
  </si>
  <si>
    <t>CGISQ2_p</t>
  </si>
  <si>
    <t>CGISQ2_1to3</t>
  </si>
  <si>
    <t>CGISQ2_1to2</t>
  </si>
  <si>
    <t>CGISQ3_Ther_p</t>
  </si>
  <si>
    <t>CGISQ3_SE_p</t>
  </si>
  <si>
    <t>CGI_EffIndex</t>
  </si>
  <si>
    <t>PGIS</t>
  </si>
  <si>
    <t>PGIS_PGIS_1to3</t>
  </si>
  <si>
    <t>PlaceboORMelatonin</t>
  </si>
  <si>
    <t>CGIQ1_dichotomised</t>
  </si>
  <si>
    <t>CGISQ1_demographics</t>
  </si>
  <si>
    <t>CGISQ1_p_dichomotised</t>
  </si>
  <si>
    <t>CGISQ2_p_dichotomised</t>
  </si>
  <si>
    <t>CGISQ2_p_3groups</t>
  </si>
  <si>
    <t>PGIS_dichomotised</t>
  </si>
  <si>
    <t>PROMIS_Baseline_SD</t>
  </si>
  <si>
    <t>PROMIS_Week1_SD</t>
  </si>
  <si>
    <t>PROMIS_Week2_SD</t>
  </si>
  <si>
    <t>PROMIS_Week3_SD</t>
  </si>
  <si>
    <t>PROMIS_Week4_SD</t>
  </si>
  <si>
    <t>PROMIS_Baseline_SRI</t>
  </si>
  <si>
    <t>PROMIS_Week1_SRI</t>
  </si>
  <si>
    <t>PROMIS_Week2_SRI</t>
  </si>
  <si>
    <t>PROMIS_Week3_SRI</t>
  </si>
  <si>
    <t>PROMIS_Week4_SRI</t>
  </si>
  <si>
    <t>CGIQ2_p_Dich2</t>
  </si>
  <si>
    <t>PGIS_Dich</t>
  </si>
  <si>
    <t>BDI_Dich1</t>
  </si>
  <si>
    <t>BDI_P_Dich1</t>
  </si>
  <si>
    <t>BDI_Dich2</t>
  </si>
  <si>
    <t>BDI_P_dich2</t>
  </si>
  <si>
    <t>No_Days_C1_SD_T</t>
  </si>
  <si>
    <t>BT_C1_SD_T</t>
  </si>
  <si>
    <t>ST_C1_SD_T</t>
  </si>
  <si>
    <t>WT_C1_SD_T</t>
  </si>
  <si>
    <t>TIB_C1_SD_T</t>
  </si>
  <si>
    <t>TST_C1_SD_T</t>
  </si>
  <si>
    <t>SOL_C1_SD_T</t>
  </si>
  <si>
    <t>SE_C1_SD_T</t>
  </si>
  <si>
    <t>WASO_C1_SD_T</t>
  </si>
  <si>
    <t>No_Days_C1_ACT_T</t>
  </si>
  <si>
    <t>BT_C1_ACT_T</t>
  </si>
  <si>
    <t>ST_C1_ACT_T</t>
  </si>
  <si>
    <t>WT_C1_ACT_T</t>
  </si>
  <si>
    <t>TIB_C1_ACT_T</t>
  </si>
  <si>
    <t>TST_C1_ACT_T</t>
  </si>
  <si>
    <t>SOL_C1_ACT_T</t>
  </si>
  <si>
    <t>SE_C1_ACT_T</t>
  </si>
  <si>
    <t>WASO_C1_ACT_T</t>
  </si>
  <si>
    <t>T1_C1_ACT_T</t>
  </si>
  <si>
    <t>T2_C1_ACT_T</t>
  </si>
  <si>
    <t>T3_C1_ACT_T</t>
  </si>
  <si>
    <t>No_Days_C2_SD_T</t>
  </si>
  <si>
    <t>BT_C2_SD_T</t>
  </si>
  <si>
    <t>ST_C2_SD_T</t>
  </si>
  <si>
    <t>WT_C2_SD_T</t>
  </si>
  <si>
    <t>TIB_C2_SD_T</t>
  </si>
  <si>
    <t>TST_C2_SD_T</t>
  </si>
  <si>
    <t>SOL_C2_SD_T</t>
  </si>
  <si>
    <t>SE_C2_SD_T</t>
  </si>
  <si>
    <t>WASO_C2_SD_T</t>
  </si>
  <si>
    <t>No_Days_C2_ACT_T</t>
  </si>
  <si>
    <t>BT_C2_ACT_T</t>
  </si>
  <si>
    <t>ST_C2_ACT_T</t>
  </si>
  <si>
    <t>WT_C2_ACT_T</t>
  </si>
  <si>
    <t>TIB_C2_ACT_T</t>
  </si>
  <si>
    <t>TST_C2_ACT_T</t>
  </si>
  <si>
    <t>SOL_C2_ACT_T</t>
  </si>
  <si>
    <t>SE_C2_ACT_T</t>
  </si>
  <si>
    <t>WASO_C2_ACT_T</t>
  </si>
  <si>
    <t>T1_C2_ACT_T</t>
  </si>
  <si>
    <t>T2_C2_ACT_T</t>
  </si>
  <si>
    <t>T3_C2_ACT_T</t>
  </si>
  <si>
    <t>male</t>
  </si>
  <si>
    <t>female</t>
  </si>
  <si>
    <t>metres</t>
  </si>
  <si>
    <t>years</t>
  </si>
  <si>
    <t>kilos</t>
  </si>
  <si>
    <t>kg/m2</t>
  </si>
  <si>
    <t>melatonin</t>
  </si>
  <si>
    <t>placebo</t>
  </si>
  <si>
    <t>total score of the Pre-screen questionnaire. The higher the score, the higher the risk of participant from suffering DSPD</t>
  </si>
  <si>
    <t>Composite Morning eveningness questionnaire</t>
  </si>
  <si>
    <t>evening</t>
  </si>
  <si>
    <t>intermediate</t>
  </si>
  <si>
    <t>morning</t>
  </si>
  <si>
    <t>mild</t>
  </si>
  <si>
    <t>moderate</t>
  </si>
  <si>
    <t>severe</t>
  </si>
  <si>
    <t>acute</t>
  </si>
  <si>
    <t>subacute</t>
  </si>
  <si>
    <t>chronic</t>
  </si>
  <si>
    <t>desired bedtime</t>
  </si>
  <si>
    <t>phase angle b/t DLMO and DBT</t>
  </si>
  <si>
    <t>phase angle b/t DLMO and HBT</t>
  </si>
  <si>
    <t>Epworth Sleepiness scale total score</t>
  </si>
  <si>
    <t>normal/borderline</t>
  </si>
  <si>
    <t>excessive daytime sleepiness</t>
  </si>
  <si>
    <t>Beck Anxiety Inventory</t>
  </si>
  <si>
    <t>Beck Depression Inventory</t>
  </si>
  <si>
    <t>Insomnia Severity Index</t>
  </si>
  <si>
    <t>Absent</t>
  </si>
  <si>
    <t>sub threshold</t>
  </si>
  <si>
    <t>PSQI component 1</t>
  </si>
  <si>
    <t>PSQI component 2</t>
  </si>
  <si>
    <t>PSQI component 3</t>
  </si>
  <si>
    <t>PSQI component 4</t>
  </si>
  <si>
    <t>PSQI component 5</t>
  </si>
  <si>
    <t>PSQI component 6</t>
  </si>
  <si>
    <t>PSQI component 7</t>
  </si>
  <si>
    <t>PSQI total score</t>
  </si>
  <si>
    <t>Normal</t>
  </si>
  <si>
    <t>Poor Sleep</t>
  </si>
  <si>
    <t>Sheehan Disability Scale Question 1</t>
  </si>
  <si>
    <t>Sheehan Disability Scale Question 2</t>
  </si>
  <si>
    <t>Sheehan Disability Scale Question 3</t>
  </si>
  <si>
    <t>Sheehan Disability Scale Total Score</t>
  </si>
  <si>
    <t>measure taken at baseline</t>
  </si>
  <si>
    <t>measure taken post treatment</t>
  </si>
  <si>
    <t>measure taken during treatment period</t>
  </si>
  <si>
    <t>from Sheehan Disability Scale</t>
  </si>
  <si>
    <t>Clinical Global Impression Scale 1</t>
  </si>
  <si>
    <t>Clinical Global Impression Scale 2</t>
  </si>
  <si>
    <t>1 to 2</t>
  </si>
  <si>
    <t>3 to 7</t>
  </si>
  <si>
    <t>1 to 3</t>
  </si>
  <si>
    <t>4 to 7</t>
  </si>
  <si>
    <t>Clinical Global Impression Scale 1 post treatment</t>
  </si>
  <si>
    <t>Clinical Global Impression Scale Therapeutic</t>
  </si>
  <si>
    <t>Clinical Global Impression Scale Efficacy</t>
  </si>
  <si>
    <t>Patient Global Impression Scale</t>
  </si>
  <si>
    <t>CGISQ2_3groups</t>
  </si>
  <si>
    <t>CGI_EffIndex_total</t>
  </si>
  <si>
    <t>PGIS_1to3</t>
  </si>
  <si>
    <t>BT_SD_B</t>
  </si>
  <si>
    <t>ST_SD_B</t>
  </si>
  <si>
    <t>WT_SD_B</t>
  </si>
  <si>
    <t>TIB_SD_B</t>
  </si>
  <si>
    <t>TST_SD_B</t>
  </si>
  <si>
    <t>SOL_SD_B</t>
  </si>
  <si>
    <t>SE_SD_B</t>
  </si>
  <si>
    <t>WASO_SD_B</t>
  </si>
  <si>
    <t>No_Days_ACT_B</t>
  </si>
  <si>
    <t>BT_ACT_B</t>
  </si>
  <si>
    <t>ST_ACT_B</t>
  </si>
  <si>
    <t>WT_ACT_B</t>
  </si>
  <si>
    <t>TIB_ACT_B</t>
  </si>
  <si>
    <t>TST_ACT_B</t>
  </si>
  <si>
    <t>SOL_ACT_B</t>
  </si>
  <si>
    <t>SE_ACT_B</t>
  </si>
  <si>
    <t>WASO_ACT_B</t>
  </si>
  <si>
    <t>T1_ACT_B</t>
  </si>
  <si>
    <t>T2_ACT_B</t>
  </si>
  <si>
    <t>T3_ACT_B</t>
  </si>
  <si>
    <t>HBT</t>
  </si>
  <si>
    <t>No_Days_SD_B</t>
  </si>
  <si>
    <t>RT_ACT_B</t>
  </si>
  <si>
    <t>SET1_ACT_B</t>
  </si>
  <si>
    <t>SET2_ACT_B</t>
  </si>
  <si>
    <t>SET3_ACT_B</t>
  </si>
  <si>
    <t>RT_C1_ACT_T</t>
  </si>
  <si>
    <t>SET1_C1_ACT_T</t>
  </si>
  <si>
    <t>SET2_C1_ACT_T</t>
  </si>
  <si>
    <t>SET3_C1_ACT_T</t>
  </si>
  <si>
    <t>RT_C2_ACT_T</t>
  </si>
  <si>
    <t>SET1_C2_ACT_T</t>
  </si>
  <si>
    <t>SET2_C2_ACT_T</t>
  </si>
  <si>
    <t>SET3_C2_ACT_T</t>
  </si>
  <si>
    <t>habitual bedtime (actigraphic) from baseline week</t>
  </si>
  <si>
    <t>Planned_Treat_Time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</si>
</sst>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right"/>
    </xf>
    <xf numFmtId="2" fontId="2" fillId="0" borderId="0" xfId="0" applyNumberFormat="1" applyFont="1" applyFill="1" applyAlignment="1">
      <alignment horizontal="right"/>
    </xf>
    <xf numFmtId="2" fontId="2" fillId="0" borderId="0" xfId="1" applyNumberFormat="1" applyFont="1" applyFill="1" applyAlignment="1">
      <alignment horizontal="right"/>
    </xf>
    <xf numFmtId="2" fontId="2" fillId="0" borderId="0" xfId="0" applyNumberFormat="1" applyFont="1" applyFill="1" applyBorder="1" applyAlignment="1">
      <alignment horizontal="right"/>
    </xf>
    <xf numFmtId="2" fontId="2" fillId="0" borderId="0" xfId="0" applyNumberFormat="1" applyFont="1"/>
    <xf numFmtId="2" fontId="2" fillId="0" borderId="0" xfId="0" applyNumberFormat="1" applyFont="1" applyAlignment="1"/>
    <xf numFmtId="1" fontId="2" fillId="0" borderId="0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2" fontId="0" fillId="0" borderId="0" xfId="0" applyNumberFormat="1" applyFill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105"/>
  <sheetViews>
    <sheetView topLeftCell="A57" zoomScale="75" zoomScaleNormal="75" workbookViewId="0">
      <selection activeCell="G86" sqref="G86"/>
    </sheetView>
  </sheetViews>
  <sheetFormatPr defaultRowHeight="15" x14ac:dyDescent="0.25"/>
  <cols>
    <col min="1" max="1" width="13.28515625" bestFit="1" customWidth="1"/>
    <col min="2" max="2" width="8" bestFit="1" customWidth="1"/>
    <col min="3" max="3" width="4.5703125" bestFit="1" customWidth="1"/>
    <col min="4" max="4" width="7.140625" style="1" bestFit="1" customWidth="1"/>
    <col min="5" max="5" width="7.7109375" bestFit="1" customWidth="1"/>
    <col min="6" max="6" width="7" bestFit="1" customWidth="1"/>
    <col min="7" max="7" width="10.85546875" bestFit="1" customWidth="1"/>
    <col min="8" max="8" width="16.5703125" bestFit="1" customWidth="1"/>
    <col min="9" max="9" width="6.42578125" bestFit="1" customWidth="1"/>
    <col min="10" max="10" width="13.42578125" bestFit="1" customWidth="1"/>
    <col min="11" max="11" width="13.28515625" bestFit="1" customWidth="1"/>
    <col min="12" max="12" width="14" bestFit="1" customWidth="1"/>
    <col min="13" max="13" width="15.5703125" style="1" bestFit="1" customWidth="1"/>
    <col min="14" max="14" width="22.28515625" bestFit="1" customWidth="1"/>
    <col min="15" max="15" width="6.42578125" style="1" bestFit="1" customWidth="1"/>
    <col min="16" max="16" width="17.140625" style="1" bestFit="1" customWidth="1"/>
    <col min="17" max="17" width="8.85546875" style="1" customWidth="1"/>
    <col min="18" max="18" width="26.28515625" style="1" bestFit="1" customWidth="1"/>
    <col min="19" max="19" width="20.140625" style="1" bestFit="1" customWidth="1"/>
    <col min="20" max="22" width="8.7109375" bestFit="1" customWidth="1"/>
    <col min="23" max="23" width="4.140625" bestFit="1" customWidth="1"/>
    <col min="24" max="24" width="17.7109375" bestFit="1" customWidth="1"/>
    <col min="25" max="25" width="4.140625" bestFit="1" customWidth="1"/>
    <col min="26" max="26" width="6.42578125" bestFit="1" customWidth="1"/>
    <col min="27" max="28" width="10.42578125" bestFit="1" customWidth="1"/>
    <col min="29" max="29" width="3.5703125" bestFit="1" customWidth="1"/>
    <col min="30" max="30" width="10.42578125" bestFit="1" customWidth="1"/>
    <col min="31" max="37" width="7.42578125" bestFit="1" customWidth="1"/>
    <col min="38" max="38" width="10.5703125" bestFit="1" customWidth="1"/>
    <col min="39" max="39" width="20.5703125" bestFit="1" customWidth="1"/>
    <col min="40" max="42" width="11.140625" bestFit="1" customWidth="1"/>
    <col min="43" max="43" width="14.42578125" bestFit="1" customWidth="1"/>
    <col min="44" max="44" width="13.140625" bestFit="1" customWidth="1"/>
    <col min="45" max="45" width="13.85546875" bestFit="1" customWidth="1"/>
    <col min="46" max="46" width="6.28515625" bestFit="1" customWidth="1"/>
    <col min="47" max="47" width="20" bestFit="1" customWidth="1"/>
    <col min="48" max="48" width="6.28515625" bestFit="1" customWidth="1"/>
    <col min="49" max="49" width="6.42578125" bestFit="1" customWidth="1"/>
    <col min="50" max="50" width="12.5703125" bestFit="1" customWidth="1"/>
    <col min="51" max="51" width="12.28515625" bestFit="1" customWidth="1"/>
    <col min="52" max="52" width="5.42578125" bestFit="1" customWidth="1"/>
    <col min="53" max="53" width="12.5703125" bestFit="1" customWidth="1"/>
    <col min="54" max="60" width="9.42578125" bestFit="1" customWidth="1"/>
    <col min="61" max="61" width="12.7109375" bestFit="1" customWidth="1"/>
    <col min="62" max="62" width="22.5703125" bestFit="1" customWidth="1"/>
    <col min="63" max="65" width="13.28515625" bestFit="1" customWidth="1"/>
    <col min="66" max="66" width="16.7109375" bestFit="1" customWidth="1"/>
    <col min="67" max="67" width="15.42578125" bestFit="1" customWidth="1"/>
    <col min="68" max="68" width="16.140625" bestFit="1" customWidth="1"/>
    <col min="69" max="69" width="7.7109375" bestFit="1" customWidth="1"/>
    <col min="70" max="71" width="12.85546875" bestFit="1" customWidth="1"/>
    <col min="72" max="72" width="9.85546875" bestFit="1" customWidth="1"/>
    <col min="73" max="74" width="14" bestFit="1" customWidth="1"/>
    <col min="75" max="75" width="9.85546875" bestFit="1" customWidth="1"/>
    <col min="76" max="77" width="12.85546875" bestFit="1" customWidth="1"/>
    <col min="78" max="78" width="16.140625" bestFit="1" customWidth="1"/>
    <col min="79" max="79" width="14.85546875" bestFit="1" customWidth="1"/>
    <col min="80" max="80" width="12.7109375" bestFit="1" customWidth="1"/>
    <col min="81" max="81" width="17.85546875" bestFit="1" customWidth="1"/>
    <col min="82" max="82" width="5.28515625" bestFit="1" customWidth="1"/>
    <col min="83" max="83" width="10.42578125" bestFit="1" customWidth="1"/>
    <col min="84" max="84" width="20.7109375" bestFit="1" customWidth="1"/>
    <col min="85" max="85" width="20.5703125" bestFit="1" customWidth="1"/>
    <col min="86" max="89" width="18.85546875" bestFit="1" customWidth="1"/>
    <col min="90" max="90" width="20.85546875" bestFit="1" customWidth="1"/>
    <col min="91" max="94" width="19.140625" bestFit="1" customWidth="1"/>
    <col min="95" max="95" width="14.42578125" style="20" bestFit="1" customWidth="1"/>
    <col min="96" max="96" width="8.7109375" style="20" bestFit="1" customWidth="1"/>
    <col min="97" max="97" width="8.5703125" style="20" bestFit="1" customWidth="1"/>
    <col min="98" max="98" width="9.42578125" style="20" bestFit="1" customWidth="1"/>
    <col min="99" max="99" width="9.28515625" style="20" bestFit="1" customWidth="1"/>
    <col min="100" max="100" width="9.42578125" style="20" bestFit="1" customWidth="1"/>
    <col min="101" max="101" width="9.85546875" style="20" bestFit="1" customWidth="1"/>
    <col min="102" max="102" width="8.5703125" style="20" bestFit="1" customWidth="1"/>
    <col min="103" max="103" width="12" style="20" bestFit="1" customWidth="1"/>
    <col min="104" max="104" width="15.5703125" style="20" bestFit="1" customWidth="1"/>
    <col min="105" max="105" width="9.7109375" style="20" bestFit="1" customWidth="1"/>
    <col min="106" max="106" width="9.5703125" style="20" bestFit="1" customWidth="1"/>
    <col min="107" max="107" width="10.42578125" style="20" bestFit="1" customWidth="1"/>
    <col min="108" max="108" width="9.7109375" style="20" bestFit="1" customWidth="1"/>
    <col min="109" max="109" width="10.28515625" style="20" bestFit="1" customWidth="1"/>
    <col min="110" max="110" width="10.5703125" style="20" bestFit="1" customWidth="1"/>
    <col min="111" max="111" width="10.85546875" style="20" bestFit="1" customWidth="1"/>
    <col min="112" max="112" width="9.5703125" style="20" bestFit="1" customWidth="1"/>
    <col min="113" max="113" width="13.28515625" style="20" bestFit="1" customWidth="1"/>
    <col min="114" max="116" width="11.5703125" style="20" bestFit="1" customWidth="1"/>
    <col min="117" max="117" width="17.7109375" style="20" bestFit="1" customWidth="1"/>
    <col min="118" max="118" width="11.7109375" style="20" bestFit="1" customWidth="1"/>
    <col min="119" max="119" width="11.5703125" style="20" bestFit="1" customWidth="1"/>
    <col min="120" max="120" width="12.5703125" style="20" bestFit="1" customWidth="1"/>
    <col min="121" max="121" width="12.28515625" style="20" bestFit="1" customWidth="1"/>
    <col min="122" max="122" width="12.5703125" style="20" bestFit="1" customWidth="1"/>
    <col min="123" max="123" width="12.85546875" style="20" bestFit="1" customWidth="1"/>
    <col min="124" max="124" width="11.5703125" style="20" bestFit="1" customWidth="1"/>
    <col min="125" max="125" width="15.140625" style="20" bestFit="1" customWidth="1"/>
    <col min="126" max="126" width="18.5703125" style="20" bestFit="1" customWidth="1"/>
    <col min="127" max="127" width="12.7109375" style="20" bestFit="1" customWidth="1"/>
    <col min="128" max="128" width="12.5703125" style="20" bestFit="1" customWidth="1"/>
    <col min="129" max="129" width="13.5703125" style="20" bestFit="1" customWidth="1"/>
    <col min="130" max="130" width="12.7109375" style="20" bestFit="1" customWidth="1"/>
    <col min="131" max="131" width="13.42578125" style="20" bestFit="1" customWidth="1"/>
    <col min="132" max="132" width="13.7109375" style="20" bestFit="1" customWidth="1"/>
    <col min="133" max="133" width="14" style="20" bestFit="1" customWidth="1"/>
    <col min="134" max="134" width="12.5703125" style="20" bestFit="1" customWidth="1"/>
    <col min="135" max="135" width="16.28515625" style="20" bestFit="1" customWidth="1"/>
    <col min="136" max="138" width="14.7109375" style="20" bestFit="1" customWidth="1"/>
    <col min="139" max="139" width="17.7109375" style="20" bestFit="1" customWidth="1"/>
    <col min="140" max="140" width="11.7109375" style="20" bestFit="1" customWidth="1"/>
    <col min="141" max="141" width="11.5703125" style="20" bestFit="1" customWidth="1"/>
    <col min="142" max="142" width="12.5703125" style="20" bestFit="1" customWidth="1"/>
    <col min="143" max="143" width="12.28515625" style="20" bestFit="1" customWidth="1"/>
    <col min="144" max="144" width="12.5703125" style="20" bestFit="1" customWidth="1"/>
    <col min="145" max="145" width="12.85546875" style="20" bestFit="1" customWidth="1"/>
    <col min="146" max="146" width="11.5703125" style="20" bestFit="1" customWidth="1"/>
    <col min="147" max="147" width="15.140625" style="20" bestFit="1" customWidth="1"/>
    <col min="148" max="148" width="18.5703125" style="20" bestFit="1" customWidth="1"/>
    <col min="149" max="149" width="12.7109375" style="20" bestFit="1" customWidth="1"/>
    <col min="150" max="150" width="12.5703125" style="20" bestFit="1" customWidth="1"/>
    <col min="151" max="151" width="13.5703125" style="20" bestFit="1" customWidth="1"/>
    <col min="152" max="152" width="12.7109375" style="20" bestFit="1" customWidth="1"/>
    <col min="153" max="153" width="13.42578125" style="20" bestFit="1" customWidth="1"/>
    <col min="154" max="154" width="13.7109375" style="20" bestFit="1" customWidth="1"/>
    <col min="155" max="155" width="14" style="20" bestFit="1" customWidth="1"/>
    <col min="156" max="156" width="12.5703125" style="20" bestFit="1" customWidth="1"/>
    <col min="157" max="157" width="16.28515625" style="20" bestFit="1" customWidth="1"/>
    <col min="158" max="160" width="14.7109375" style="20" bestFit="1" customWidth="1"/>
  </cols>
  <sheetData>
    <row r="1" spans="1:1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5" t="s">
        <v>222</v>
      </c>
      <c r="R1" t="s">
        <v>16</v>
      </c>
      <c r="S1" s="5" t="s">
        <v>237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95</v>
      </c>
      <c r="AB1" t="s">
        <v>97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96</v>
      </c>
      <c r="AY1" t="s">
        <v>98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70</v>
      </c>
      <c r="BY1" t="s">
        <v>69</v>
      </c>
      <c r="BZ1" t="s">
        <v>199</v>
      </c>
      <c r="CA1" t="s">
        <v>71</v>
      </c>
      <c r="CB1" t="s">
        <v>72</v>
      </c>
      <c r="CC1" t="s">
        <v>200</v>
      </c>
      <c r="CD1" t="s">
        <v>74</v>
      </c>
      <c r="CE1" t="s">
        <v>201</v>
      </c>
      <c r="CF1" t="s">
        <v>76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s="26" t="s">
        <v>92</v>
      </c>
      <c r="CQ1" s="20" t="s">
        <v>223</v>
      </c>
      <c r="CR1" s="20" t="s">
        <v>202</v>
      </c>
      <c r="CS1" s="20" t="s">
        <v>203</v>
      </c>
      <c r="CT1" s="20" t="s">
        <v>204</v>
      </c>
      <c r="CU1" s="20" t="s">
        <v>205</v>
      </c>
      <c r="CV1" s="20" t="s">
        <v>206</v>
      </c>
      <c r="CW1" s="20" t="s">
        <v>207</v>
      </c>
      <c r="CX1" s="20" t="s">
        <v>208</v>
      </c>
      <c r="CY1" s="19" t="s">
        <v>209</v>
      </c>
      <c r="CZ1" s="20" t="s">
        <v>210</v>
      </c>
      <c r="DA1" s="20" t="s">
        <v>211</v>
      </c>
      <c r="DB1" s="20" t="s">
        <v>212</v>
      </c>
      <c r="DC1" s="20" t="s">
        <v>213</v>
      </c>
      <c r="DD1" s="20" t="s">
        <v>224</v>
      </c>
      <c r="DE1" s="20" t="s">
        <v>214</v>
      </c>
      <c r="DF1" s="20" t="s">
        <v>215</v>
      </c>
      <c r="DG1" s="20" t="s">
        <v>216</v>
      </c>
      <c r="DH1" s="20" t="s">
        <v>217</v>
      </c>
      <c r="DI1" s="20" t="s">
        <v>218</v>
      </c>
      <c r="DJ1" s="20" t="s">
        <v>225</v>
      </c>
      <c r="DK1" s="20" t="s">
        <v>226</v>
      </c>
      <c r="DL1" s="19" t="s">
        <v>227</v>
      </c>
      <c r="DM1" s="20" t="s">
        <v>99</v>
      </c>
      <c r="DN1" s="20" t="s">
        <v>100</v>
      </c>
      <c r="DO1" s="20" t="s">
        <v>101</v>
      </c>
      <c r="DP1" s="20" t="s">
        <v>102</v>
      </c>
      <c r="DQ1" s="20" t="s">
        <v>103</v>
      </c>
      <c r="DR1" s="20" t="s">
        <v>104</v>
      </c>
      <c r="DS1" s="20" t="s">
        <v>105</v>
      </c>
      <c r="DT1" s="20" t="s">
        <v>106</v>
      </c>
      <c r="DU1" s="19" t="s">
        <v>107</v>
      </c>
      <c r="DV1" s="20" t="s">
        <v>108</v>
      </c>
      <c r="DW1" s="20" t="s">
        <v>109</v>
      </c>
      <c r="DX1" s="20" t="s">
        <v>110</v>
      </c>
      <c r="DY1" s="20" t="s">
        <v>111</v>
      </c>
      <c r="DZ1" s="20" t="s">
        <v>228</v>
      </c>
      <c r="EA1" s="20" t="s">
        <v>112</v>
      </c>
      <c r="EB1" s="20" t="s">
        <v>113</v>
      </c>
      <c r="EC1" s="20" t="s">
        <v>114</v>
      </c>
      <c r="ED1" s="20" t="s">
        <v>115</v>
      </c>
      <c r="EE1" s="20" t="s">
        <v>116</v>
      </c>
      <c r="EF1" s="20" t="s">
        <v>229</v>
      </c>
      <c r="EG1" s="20" t="s">
        <v>230</v>
      </c>
      <c r="EH1" s="19" t="s">
        <v>231</v>
      </c>
      <c r="EI1" s="20" t="s">
        <v>120</v>
      </c>
      <c r="EJ1" s="20" t="s">
        <v>121</v>
      </c>
      <c r="EK1" s="20" t="s">
        <v>122</v>
      </c>
      <c r="EL1" s="20" t="s">
        <v>123</v>
      </c>
      <c r="EM1" s="20" t="s">
        <v>124</v>
      </c>
      <c r="EN1" s="20" t="s">
        <v>125</v>
      </c>
      <c r="EO1" s="20" t="s">
        <v>126</v>
      </c>
      <c r="EP1" s="20" t="s">
        <v>127</v>
      </c>
      <c r="EQ1" s="19" t="s">
        <v>128</v>
      </c>
      <c r="ER1" s="20" t="s">
        <v>129</v>
      </c>
      <c r="ES1" s="20" t="s">
        <v>130</v>
      </c>
      <c r="ET1" s="20" t="s">
        <v>131</v>
      </c>
      <c r="EU1" s="20" t="s">
        <v>132</v>
      </c>
      <c r="EV1" s="20" t="s">
        <v>232</v>
      </c>
      <c r="EW1" s="20" t="s">
        <v>133</v>
      </c>
      <c r="EX1" s="20" t="s">
        <v>134</v>
      </c>
      <c r="EY1" s="20" t="s">
        <v>135</v>
      </c>
      <c r="EZ1" s="20" t="s">
        <v>136</v>
      </c>
      <c r="FA1" s="20" t="s">
        <v>137</v>
      </c>
      <c r="FB1" s="20" t="s">
        <v>233</v>
      </c>
      <c r="FC1" s="20" t="s">
        <v>234</v>
      </c>
      <c r="FD1" s="20" t="s">
        <v>235</v>
      </c>
    </row>
    <row r="2" spans="1:160" x14ac:dyDescent="0.25">
      <c r="A2">
        <v>4001</v>
      </c>
      <c r="B2">
        <v>1</v>
      </c>
      <c r="C2">
        <v>26</v>
      </c>
      <c r="D2" s="1">
        <v>1.83</v>
      </c>
      <c r="E2">
        <v>70</v>
      </c>
      <c r="F2">
        <v>20.9</v>
      </c>
      <c r="G2">
        <v>2</v>
      </c>
      <c r="H2">
        <v>12</v>
      </c>
      <c r="I2">
        <v>20</v>
      </c>
      <c r="J2">
        <v>1</v>
      </c>
      <c r="K2">
        <v>2</v>
      </c>
      <c r="L2">
        <v>3</v>
      </c>
      <c r="M2" s="1">
        <v>21.75</v>
      </c>
      <c r="O2" s="1">
        <v>22.5</v>
      </c>
      <c r="P2" s="1">
        <v>0.75</v>
      </c>
      <c r="Q2" s="1">
        <v>24.73</v>
      </c>
      <c r="R2" s="1">
        <v>2.98</v>
      </c>
      <c r="S2" s="1">
        <v>21.5</v>
      </c>
      <c r="T2">
        <v>0</v>
      </c>
      <c r="U2">
        <v>2</v>
      </c>
      <c r="V2">
        <v>0</v>
      </c>
      <c r="W2">
        <v>0</v>
      </c>
      <c r="X2">
        <v>1</v>
      </c>
      <c r="Y2">
        <v>3</v>
      </c>
      <c r="Z2">
        <v>0</v>
      </c>
      <c r="AA2">
        <v>1</v>
      </c>
      <c r="AB2">
        <v>1</v>
      </c>
      <c r="AC2">
        <v>12</v>
      </c>
      <c r="AD2">
        <v>2</v>
      </c>
      <c r="AE2">
        <v>1</v>
      </c>
      <c r="AF2">
        <v>3</v>
      </c>
      <c r="AG2">
        <v>0</v>
      </c>
      <c r="AH2">
        <v>0</v>
      </c>
      <c r="AI2">
        <v>3</v>
      </c>
      <c r="AJ2">
        <v>0</v>
      </c>
      <c r="AK2">
        <v>2</v>
      </c>
      <c r="AL2">
        <v>9</v>
      </c>
      <c r="AM2">
        <v>2</v>
      </c>
      <c r="AN2">
        <v>4</v>
      </c>
      <c r="AO2">
        <v>2</v>
      </c>
      <c r="AP2">
        <v>2</v>
      </c>
      <c r="AQ2">
        <v>8</v>
      </c>
      <c r="AR2">
        <v>0</v>
      </c>
      <c r="AS2">
        <v>10</v>
      </c>
      <c r="BQ2">
        <v>4</v>
      </c>
      <c r="BR2">
        <v>2</v>
      </c>
      <c r="BS2">
        <v>2</v>
      </c>
      <c r="BT2">
        <v>3</v>
      </c>
      <c r="BU2">
        <v>2</v>
      </c>
      <c r="BV2">
        <v>1</v>
      </c>
      <c r="BW2">
        <v>5</v>
      </c>
      <c r="BX2">
        <v>2</v>
      </c>
      <c r="BY2">
        <v>2</v>
      </c>
      <c r="BZ2">
        <v>2</v>
      </c>
      <c r="CA2">
        <v>1</v>
      </c>
      <c r="CB2">
        <v>1</v>
      </c>
      <c r="CC2">
        <v>13</v>
      </c>
      <c r="CD2">
        <v>1</v>
      </c>
      <c r="CE2">
        <v>1</v>
      </c>
      <c r="CF2">
        <v>2</v>
      </c>
      <c r="CG2">
        <v>22</v>
      </c>
      <c r="CH2">
        <v>28</v>
      </c>
      <c r="CI2">
        <v>27</v>
      </c>
      <c r="CJ2">
        <v>26</v>
      </c>
      <c r="CK2">
        <v>28</v>
      </c>
      <c r="CL2">
        <v>24</v>
      </c>
      <c r="CM2">
        <v>18</v>
      </c>
      <c r="CN2">
        <v>17</v>
      </c>
      <c r="CO2">
        <v>18</v>
      </c>
      <c r="CP2" s="26">
        <v>18</v>
      </c>
      <c r="CQ2" s="21">
        <v>7</v>
      </c>
      <c r="CR2" s="22">
        <v>24.726190476190474</v>
      </c>
      <c r="CS2" s="22">
        <v>25.107142857142858</v>
      </c>
      <c r="CT2" s="22">
        <v>8.3333333333333321</v>
      </c>
      <c r="CU2" s="22">
        <v>456.42857142857144</v>
      </c>
      <c r="CV2" s="22">
        <v>429.85714285714283</v>
      </c>
      <c r="CW2" s="22">
        <v>22.857142857142858</v>
      </c>
      <c r="CX2" s="22">
        <v>94.155170702526405</v>
      </c>
      <c r="CY2" s="23">
        <v>3.7142857142857144</v>
      </c>
      <c r="CZ2" s="20">
        <v>7</v>
      </c>
      <c r="DA2" s="24">
        <v>24.726190476190474</v>
      </c>
      <c r="DB2" s="24">
        <v>24.845238095238095</v>
      </c>
      <c r="DC2" s="24">
        <v>8.2642857142857142</v>
      </c>
      <c r="DD2" s="24">
        <v>8.3333333333333321</v>
      </c>
      <c r="DE2" s="24">
        <v>456.42857142857144</v>
      </c>
      <c r="DF2" s="24">
        <v>414.57142857142856</v>
      </c>
      <c r="DG2" s="24">
        <v>7.1428571428571432</v>
      </c>
      <c r="DH2" s="24">
        <v>90.825714285714298</v>
      </c>
      <c r="DI2" s="24">
        <v>30.571428571428573</v>
      </c>
      <c r="DJ2" s="24">
        <v>90.606098477534374</v>
      </c>
      <c r="DK2" s="24">
        <v>92.71617913331518</v>
      </c>
      <c r="DL2" s="25">
        <v>92.783786793810592</v>
      </c>
      <c r="DM2" s="20">
        <v>20</v>
      </c>
      <c r="DN2" s="24">
        <v>22.6</v>
      </c>
      <c r="DO2" s="24">
        <v>23.241666666666667</v>
      </c>
      <c r="DP2" s="24">
        <v>8.15</v>
      </c>
      <c r="DQ2" s="24">
        <v>573</v>
      </c>
      <c r="DR2" s="24">
        <v>520.95000000000005</v>
      </c>
      <c r="DS2" s="24">
        <v>38.5</v>
      </c>
      <c r="DT2" s="24">
        <v>90.888233666219648</v>
      </c>
      <c r="DU2" s="25">
        <v>13.55</v>
      </c>
      <c r="DV2" s="20">
        <v>20</v>
      </c>
      <c r="DW2" s="24">
        <v>22.6</v>
      </c>
      <c r="DX2" s="24">
        <v>22.767500000000002</v>
      </c>
      <c r="DY2" s="24">
        <v>7.9941666666666666</v>
      </c>
      <c r="DZ2" s="24">
        <v>8.15</v>
      </c>
      <c r="EA2" s="24">
        <v>573</v>
      </c>
      <c r="EB2" s="24">
        <v>508.1</v>
      </c>
      <c r="EC2" s="24">
        <v>508.1</v>
      </c>
      <c r="ED2" s="24">
        <v>88.528999999999996</v>
      </c>
      <c r="EE2" s="24">
        <v>45.5</v>
      </c>
      <c r="EF2" s="24">
        <v>87.173411063680405</v>
      </c>
      <c r="EG2" s="24">
        <v>92.738427728375228</v>
      </c>
      <c r="EH2" s="25">
        <v>89.759742135806334</v>
      </c>
      <c r="EI2" s="20">
        <v>20</v>
      </c>
      <c r="EJ2" s="24">
        <v>22.6</v>
      </c>
      <c r="EK2" s="24">
        <v>23.241666666666667</v>
      </c>
      <c r="EL2" s="24">
        <v>8.15</v>
      </c>
      <c r="EM2" s="24">
        <v>573</v>
      </c>
      <c r="EN2" s="24">
        <v>520.95000000000005</v>
      </c>
      <c r="EO2" s="24">
        <v>38.5</v>
      </c>
      <c r="EP2" s="24">
        <v>90.888233666219648</v>
      </c>
      <c r="EQ2" s="25">
        <v>13.55</v>
      </c>
      <c r="ER2" s="20">
        <v>20</v>
      </c>
      <c r="ES2" s="24">
        <v>22.6</v>
      </c>
      <c r="ET2" s="24">
        <v>22.767500000000002</v>
      </c>
      <c r="EU2" s="24">
        <v>7.9941666666666666</v>
      </c>
      <c r="EV2" s="24">
        <v>8.15</v>
      </c>
      <c r="EW2" s="24">
        <v>573</v>
      </c>
      <c r="EX2" s="24">
        <v>508.1</v>
      </c>
      <c r="EY2" s="24">
        <v>10.050000000000001</v>
      </c>
      <c r="EZ2" s="24">
        <v>88.528999999999996</v>
      </c>
      <c r="FA2" s="24">
        <v>45.5</v>
      </c>
      <c r="FB2" s="24">
        <v>87.173411063680405</v>
      </c>
      <c r="FC2" s="24">
        <v>92.738427728375228</v>
      </c>
      <c r="FD2" s="24">
        <v>89.759742135806334</v>
      </c>
    </row>
    <row r="3" spans="1:160" x14ac:dyDescent="0.25">
      <c r="A3">
        <v>4012</v>
      </c>
      <c r="B3">
        <v>1</v>
      </c>
      <c r="C3">
        <v>25</v>
      </c>
      <c r="D3" s="1">
        <v>1.77</v>
      </c>
      <c r="E3">
        <v>78</v>
      </c>
      <c r="F3">
        <v>24.9</v>
      </c>
      <c r="G3">
        <v>2</v>
      </c>
      <c r="H3">
        <v>17</v>
      </c>
      <c r="I3">
        <v>21</v>
      </c>
      <c r="J3">
        <v>1</v>
      </c>
      <c r="K3">
        <v>3</v>
      </c>
      <c r="L3">
        <v>3</v>
      </c>
      <c r="M3" s="1">
        <v>23.65</v>
      </c>
      <c r="O3" s="1">
        <v>23.75</v>
      </c>
      <c r="P3" s="1">
        <v>0.1</v>
      </c>
      <c r="Q3" s="1">
        <v>26.849999999999998</v>
      </c>
      <c r="R3" s="1">
        <v>3.2</v>
      </c>
      <c r="S3" s="1">
        <v>22.75</v>
      </c>
      <c r="T3">
        <v>0</v>
      </c>
      <c r="U3">
        <v>2</v>
      </c>
      <c r="V3">
        <v>0</v>
      </c>
      <c r="W3">
        <v>7</v>
      </c>
      <c r="X3">
        <v>1</v>
      </c>
      <c r="Y3">
        <v>4</v>
      </c>
      <c r="Z3">
        <v>0</v>
      </c>
      <c r="AA3">
        <v>1</v>
      </c>
      <c r="AB3">
        <v>1</v>
      </c>
      <c r="AC3">
        <v>11</v>
      </c>
      <c r="AD3">
        <v>2</v>
      </c>
      <c r="AE3">
        <v>1</v>
      </c>
      <c r="AF3">
        <v>2</v>
      </c>
      <c r="AG3">
        <v>1</v>
      </c>
      <c r="AH3">
        <v>1</v>
      </c>
      <c r="AI3">
        <v>1</v>
      </c>
      <c r="AJ3">
        <v>0</v>
      </c>
      <c r="AK3">
        <v>1</v>
      </c>
      <c r="AL3">
        <v>7</v>
      </c>
      <c r="AM3">
        <v>2</v>
      </c>
      <c r="AN3">
        <v>7</v>
      </c>
      <c r="AO3">
        <v>4</v>
      </c>
      <c r="AP3">
        <v>8</v>
      </c>
      <c r="AQ3">
        <v>19</v>
      </c>
      <c r="AR3">
        <v>2</v>
      </c>
      <c r="AS3">
        <v>5</v>
      </c>
      <c r="BQ3">
        <v>5</v>
      </c>
      <c r="BR3">
        <v>2</v>
      </c>
      <c r="BS3">
        <v>2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4</v>
      </c>
      <c r="CB3">
        <v>2</v>
      </c>
      <c r="CC3">
        <v>2</v>
      </c>
      <c r="CD3">
        <v>7</v>
      </c>
      <c r="CE3">
        <v>2</v>
      </c>
      <c r="CF3">
        <v>2</v>
      </c>
      <c r="CG3">
        <v>19</v>
      </c>
      <c r="CH3">
        <v>9</v>
      </c>
      <c r="CI3">
        <v>11</v>
      </c>
      <c r="CJ3">
        <v>14</v>
      </c>
      <c r="CK3">
        <v>8</v>
      </c>
      <c r="CL3">
        <v>20</v>
      </c>
      <c r="CM3">
        <v>13</v>
      </c>
      <c r="CN3">
        <v>9</v>
      </c>
      <c r="CO3">
        <v>10</v>
      </c>
      <c r="CP3" s="26">
        <v>10</v>
      </c>
      <c r="CQ3" s="21">
        <v>7</v>
      </c>
      <c r="CR3" s="22">
        <v>26.845238095238095</v>
      </c>
      <c r="CS3" s="22">
        <v>27.202380952380956</v>
      </c>
      <c r="CT3" s="22">
        <v>9.9880952380952372</v>
      </c>
      <c r="CU3" s="22">
        <v>428.57142857142856</v>
      </c>
      <c r="CV3" s="22">
        <v>406.85714285714283</v>
      </c>
      <c r="CW3" s="22">
        <v>21.428571428571427</v>
      </c>
      <c r="CX3" s="22">
        <v>94.819728864601828</v>
      </c>
      <c r="CY3" s="23">
        <v>0.2857142857142857</v>
      </c>
      <c r="CZ3" s="20">
        <v>7</v>
      </c>
      <c r="DA3" s="24">
        <v>26.845238095238095</v>
      </c>
      <c r="DB3" s="24">
        <v>27.302380952380954</v>
      </c>
      <c r="DC3" s="24">
        <v>9.8119047619047617</v>
      </c>
      <c r="DD3" s="24">
        <v>9.9880952380952372</v>
      </c>
      <c r="DE3" s="24">
        <v>428.57142857142856</v>
      </c>
      <c r="DF3" s="24">
        <v>334.85714285714283</v>
      </c>
      <c r="DG3" s="24">
        <v>27.428571428571427</v>
      </c>
      <c r="DH3" s="24">
        <v>78.087142857142837</v>
      </c>
      <c r="DI3" s="24">
        <v>55.714285714285715</v>
      </c>
      <c r="DJ3" s="24">
        <v>75.370882966168992</v>
      </c>
      <c r="DK3" s="24">
        <v>87.283542169774691</v>
      </c>
      <c r="DL3" s="25">
        <v>82.25060542001215</v>
      </c>
      <c r="DM3" s="20">
        <v>25</v>
      </c>
      <c r="DN3" s="24">
        <v>23.736666666666668</v>
      </c>
      <c r="DO3" s="24">
        <v>24.09333333333333</v>
      </c>
      <c r="DP3" s="24">
        <v>7.5466666666666677</v>
      </c>
      <c r="DQ3" s="24">
        <v>468.6</v>
      </c>
      <c r="DR3" s="24">
        <v>446</v>
      </c>
      <c r="DS3" s="24">
        <v>21.4</v>
      </c>
      <c r="DT3" s="24">
        <v>95.208600396724236</v>
      </c>
      <c r="DU3" s="25">
        <v>1.2</v>
      </c>
      <c r="DV3" s="20">
        <v>25</v>
      </c>
      <c r="DW3" s="24">
        <v>24.47</v>
      </c>
      <c r="DX3" s="24">
        <v>24.899333333333335</v>
      </c>
      <c r="DY3" s="24">
        <v>8.1479999999999961</v>
      </c>
      <c r="DZ3" s="24">
        <v>8.3000000000000007</v>
      </c>
      <c r="EA3" s="24">
        <v>469.8</v>
      </c>
      <c r="EB3" s="24">
        <v>380.12</v>
      </c>
      <c r="EC3" s="24">
        <v>380.12</v>
      </c>
      <c r="ED3" s="24">
        <v>80.943600000000004</v>
      </c>
      <c r="EE3" s="24">
        <v>54.8</v>
      </c>
      <c r="EF3" s="24">
        <v>78.574781654318855</v>
      </c>
      <c r="EG3" s="24">
        <v>88.374070669334415</v>
      </c>
      <c r="EH3" s="25">
        <v>84.850752223675869</v>
      </c>
      <c r="EI3" s="20">
        <v>25</v>
      </c>
      <c r="EJ3" s="24">
        <v>23.736666666666668</v>
      </c>
      <c r="EK3" s="24">
        <v>24.09333333333333</v>
      </c>
      <c r="EL3" s="24">
        <v>7.5466666666666677</v>
      </c>
      <c r="EM3" s="24">
        <v>468.6</v>
      </c>
      <c r="EN3" s="24">
        <v>446</v>
      </c>
      <c r="EO3" s="24">
        <v>21.4</v>
      </c>
      <c r="EP3" s="24">
        <v>95.208600396724236</v>
      </c>
      <c r="EQ3" s="25">
        <v>1.2</v>
      </c>
      <c r="ER3" s="20">
        <v>25</v>
      </c>
      <c r="ES3" s="24">
        <v>24.47</v>
      </c>
      <c r="ET3" s="24">
        <v>24.899333333333335</v>
      </c>
      <c r="EU3" s="24">
        <v>8.1479999999999961</v>
      </c>
      <c r="EV3" s="24">
        <v>8.3000000000000007</v>
      </c>
      <c r="EW3" s="24">
        <v>469.8</v>
      </c>
      <c r="EX3" s="24">
        <v>380.12</v>
      </c>
      <c r="EY3" s="24">
        <v>25.76</v>
      </c>
      <c r="EZ3" s="24">
        <v>80.943600000000004</v>
      </c>
      <c r="FA3" s="24">
        <v>54.8</v>
      </c>
      <c r="FB3" s="24">
        <v>78.574781654318855</v>
      </c>
      <c r="FC3" s="24">
        <v>88.374070669334415</v>
      </c>
      <c r="FD3" s="24">
        <v>84.850752223675869</v>
      </c>
    </row>
    <row r="4" spans="1:160" x14ac:dyDescent="0.25">
      <c r="A4">
        <v>4018</v>
      </c>
      <c r="B4">
        <v>1</v>
      </c>
      <c r="C4">
        <v>23</v>
      </c>
      <c r="D4" s="1">
        <v>1.73</v>
      </c>
      <c r="E4">
        <v>58</v>
      </c>
      <c r="F4">
        <v>19.38</v>
      </c>
      <c r="G4">
        <v>1</v>
      </c>
      <c r="H4">
        <v>16</v>
      </c>
      <c r="I4">
        <v>24</v>
      </c>
      <c r="J4">
        <v>2</v>
      </c>
      <c r="K4">
        <v>2</v>
      </c>
      <c r="L4">
        <v>3</v>
      </c>
      <c r="M4" s="1">
        <v>23.15</v>
      </c>
      <c r="O4" s="1">
        <v>23.75</v>
      </c>
      <c r="P4" s="1">
        <v>0.6</v>
      </c>
      <c r="Q4" s="1">
        <v>26.43</v>
      </c>
      <c r="R4" s="1">
        <v>3.28</v>
      </c>
      <c r="S4" s="1">
        <v>22.75</v>
      </c>
      <c r="T4">
        <v>0</v>
      </c>
      <c r="U4">
        <v>3</v>
      </c>
      <c r="V4">
        <v>0</v>
      </c>
      <c r="W4">
        <v>2</v>
      </c>
      <c r="X4">
        <v>1</v>
      </c>
      <c r="Y4">
        <v>13</v>
      </c>
      <c r="Z4">
        <v>0</v>
      </c>
      <c r="AA4">
        <v>1</v>
      </c>
      <c r="AB4">
        <v>1</v>
      </c>
      <c r="AC4">
        <v>11</v>
      </c>
      <c r="AD4">
        <v>2</v>
      </c>
      <c r="AE4">
        <v>2</v>
      </c>
      <c r="AF4">
        <v>3</v>
      </c>
      <c r="AG4">
        <v>0</v>
      </c>
      <c r="AH4">
        <v>1</v>
      </c>
      <c r="AI4">
        <v>1</v>
      </c>
      <c r="AJ4">
        <v>0</v>
      </c>
      <c r="AK4">
        <v>1</v>
      </c>
      <c r="AL4">
        <v>8</v>
      </c>
      <c r="AM4">
        <v>2</v>
      </c>
      <c r="AN4">
        <v>7</v>
      </c>
      <c r="AO4">
        <v>3</v>
      </c>
      <c r="AP4">
        <v>5</v>
      </c>
      <c r="AQ4">
        <v>15</v>
      </c>
      <c r="AR4">
        <v>8</v>
      </c>
      <c r="AS4">
        <v>12</v>
      </c>
      <c r="BQ4">
        <v>5</v>
      </c>
      <c r="BR4">
        <v>2</v>
      </c>
      <c r="BS4">
        <v>2</v>
      </c>
      <c r="BT4">
        <v>3</v>
      </c>
      <c r="BU4">
        <v>2</v>
      </c>
      <c r="BV4">
        <v>1</v>
      </c>
      <c r="BW4">
        <v>3</v>
      </c>
      <c r="BX4">
        <v>2</v>
      </c>
      <c r="BY4">
        <v>1</v>
      </c>
      <c r="BZ4">
        <v>2</v>
      </c>
      <c r="CA4">
        <v>2</v>
      </c>
      <c r="CB4">
        <v>1</v>
      </c>
      <c r="CC4">
        <v>9</v>
      </c>
      <c r="CD4">
        <v>4</v>
      </c>
      <c r="CE4">
        <v>2</v>
      </c>
      <c r="CF4">
        <v>1</v>
      </c>
      <c r="CG4">
        <v>21</v>
      </c>
      <c r="CH4">
        <v>30</v>
      </c>
      <c r="CI4">
        <v>26</v>
      </c>
      <c r="CJ4">
        <v>28</v>
      </c>
      <c r="CK4">
        <v>29</v>
      </c>
      <c r="CL4">
        <v>24</v>
      </c>
      <c r="CM4">
        <v>25</v>
      </c>
      <c r="CN4">
        <v>25</v>
      </c>
      <c r="CO4">
        <v>25</v>
      </c>
      <c r="CP4" s="26">
        <v>25</v>
      </c>
      <c r="CQ4" s="20">
        <v>7</v>
      </c>
      <c r="CR4" s="24">
        <v>25.428571428571427</v>
      </c>
      <c r="CS4" s="24">
        <v>26.464285714285715</v>
      </c>
      <c r="CT4" s="24">
        <v>9.7857142857142865</v>
      </c>
      <c r="CU4" s="24">
        <v>501.42857142857144</v>
      </c>
      <c r="CV4" s="24">
        <v>429.28571428571428</v>
      </c>
      <c r="CW4" s="24">
        <v>62.142857142857146</v>
      </c>
      <c r="CX4" s="24">
        <v>85.708164384634983</v>
      </c>
      <c r="CY4" s="25">
        <v>10</v>
      </c>
      <c r="CZ4" s="20">
        <v>7</v>
      </c>
      <c r="DA4" s="24">
        <v>26.428571428571427</v>
      </c>
      <c r="DB4" s="24">
        <v>27.109523809523807</v>
      </c>
      <c r="DC4" s="24">
        <v>10.423809523809524</v>
      </c>
      <c r="DD4" s="24">
        <v>10.785714285714286</v>
      </c>
      <c r="DE4" s="24">
        <v>501.42857142857144</v>
      </c>
      <c r="DF4" s="24">
        <v>375.42857142857144</v>
      </c>
      <c r="DG4" s="24">
        <v>40.857142857142854</v>
      </c>
      <c r="DH4" s="24">
        <v>75.214285714285708</v>
      </c>
      <c r="DI4" s="24">
        <v>63.428571428571431</v>
      </c>
      <c r="DJ4" s="24">
        <v>70.853252140016835</v>
      </c>
      <c r="DK4" s="24">
        <v>85.959236841589785</v>
      </c>
      <c r="DL4" s="25">
        <v>77.04522193492781</v>
      </c>
      <c r="DM4" s="20">
        <v>11</v>
      </c>
      <c r="DN4" s="24">
        <v>23.40909090909091</v>
      </c>
      <c r="DO4" s="24">
        <v>24.613636363636363</v>
      </c>
      <c r="DP4" s="24">
        <v>9.0227272727272734</v>
      </c>
      <c r="DQ4" s="24">
        <v>576.81818181818187</v>
      </c>
      <c r="DR4" s="24">
        <v>495</v>
      </c>
      <c r="DS4" s="24">
        <v>72.272727272727266</v>
      </c>
      <c r="DT4" s="24">
        <v>85.815373497307917</v>
      </c>
      <c r="DU4" s="25">
        <v>9.545454545454545</v>
      </c>
      <c r="DV4" s="20">
        <v>11</v>
      </c>
      <c r="DW4" s="24">
        <v>23.818181818181817</v>
      </c>
      <c r="DX4" s="24">
        <v>24.677272727272733</v>
      </c>
      <c r="DY4" s="24">
        <v>8.4712121212121207</v>
      </c>
      <c r="DZ4" s="24">
        <v>8.9318181818181817</v>
      </c>
      <c r="EA4" s="24">
        <v>546.81818181818187</v>
      </c>
      <c r="EB4" s="24">
        <v>394.36363636363637</v>
      </c>
      <c r="EC4" s="24">
        <v>394.36363636363637</v>
      </c>
      <c r="ED4" s="24">
        <v>72.571818181818173</v>
      </c>
      <c r="EE4" s="24">
        <v>73.272727272727266</v>
      </c>
      <c r="EF4" s="24">
        <v>66.576388102000266</v>
      </c>
      <c r="EG4" s="24">
        <v>88.224404594373638</v>
      </c>
      <c r="EH4" s="25">
        <v>71.767396584558142</v>
      </c>
      <c r="EI4" s="20">
        <v>11</v>
      </c>
      <c r="EJ4" s="24">
        <v>23.40909090909091</v>
      </c>
      <c r="EK4" s="24">
        <v>24.613636363636363</v>
      </c>
      <c r="EL4" s="24">
        <v>9.0227272727272734</v>
      </c>
      <c r="EM4" s="24">
        <v>576.81818181818187</v>
      </c>
      <c r="EN4" s="24">
        <v>495</v>
      </c>
      <c r="EO4" s="24">
        <v>72.272727272727266</v>
      </c>
      <c r="EP4" s="24">
        <v>85.815373497307917</v>
      </c>
      <c r="EQ4" s="25">
        <v>9.545454545454545</v>
      </c>
      <c r="ER4" s="20">
        <v>10</v>
      </c>
      <c r="ES4" s="24">
        <v>23.7</v>
      </c>
      <c r="ET4" s="24">
        <v>24.636666666666667</v>
      </c>
      <c r="EU4" s="24">
        <v>8.66</v>
      </c>
      <c r="EV4" s="24">
        <v>9.125</v>
      </c>
      <c r="EW4" s="24">
        <v>565.5</v>
      </c>
      <c r="EX4" s="24">
        <v>403</v>
      </c>
      <c r="EY4" s="24">
        <v>56.2</v>
      </c>
      <c r="EZ4" s="24">
        <v>71.272999999999996</v>
      </c>
      <c r="FA4" s="24">
        <v>78.400000000000006</v>
      </c>
      <c r="FB4" s="24">
        <v>64.567360245533621</v>
      </c>
      <c r="FC4" s="24">
        <v>87.713511720477669</v>
      </c>
      <c r="FD4" s="24">
        <v>70.444136243013958</v>
      </c>
    </row>
    <row r="5" spans="1:160" x14ac:dyDescent="0.25">
      <c r="A5">
        <v>4019</v>
      </c>
      <c r="B5">
        <v>1</v>
      </c>
      <c r="C5">
        <v>23</v>
      </c>
      <c r="D5" s="1">
        <v>1.8</v>
      </c>
      <c r="E5">
        <v>75</v>
      </c>
      <c r="F5">
        <v>23.15</v>
      </c>
      <c r="G5">
        <v>2</v>
      </c>
      <c r="H5">
        <v>13</v>
      </c>
      <c r="I5">
        <v>24</v>
      </c>
      <c r="J5">
        <v>2</v>
      </c>
      <c r="K5">
        <v>2</v>
      </c>
      <c r="L5">
        <v>3</v>
      </c>
      <c r="M5" s="1">
        <v>22.4</v>
      </c>
      <c r="O5" s="1">
        <v>23</v>
      </c>
      <c r="P5" s="1">
        <v>0.6</v>
      </c>
      <c r="Q5" s="1">
        <v>26.95</v>
      </c>
      <c r="R5" s="1">
        <v>4.55</v>
      </c>
      <c r="S5" s="1">
        <v>22</v>
      </c>
      <c r="T5">
        <v>0</v>
      </c>
      <c r="U5">
        <v>2</v>
      </c>
      <c r="V5">
        <v>0</v>
      </c>
      <c r="W5">
        <v>6</v>
      </c>
      <c r="X5">
        <v>1</v>
      </c>
      <c r="Y5">
        <v>9</v>
      </c>
      <c r="Z5">
        <v>10</v>
      </c>
      <c r="AA5">
        <v>1</v>
      </c>
      <c r="AB5">
        <v>1</v>
      </c>
      <c r="AC5">
        <v>12</v>
      </c>
      <c r="AD5">
        <v>2</v>
      </c>
      <c r="AE5">
        <v>2</v>
      </c>
      <c r="AF5">
        <v>1</v>
      </c>
      <c r="AG5">
        <v>3</v>
      </c>
      <c r="AH5">
        <v>1</v>
      </c>
      <c r="AI5">
        <v>1</v>
      </c>
      <c r="AJ5">
        <v>0</v>
      </c>
      <c r="AK5">
        <v>1</v>
      </c>
      <c r="AL5">
        <v>9</v>
      </c>
      <c r="AM5">
        <v>2</v>
      </c>
      <c r="AN5">
        <v>4</v>
      </c>
      <c r="AO5">
        <v>2</v>
      </c>
      <c r="AP5">
        <v>3</v>
      </c>
      <c r="AQ5">
        <v>9</v>
      </c>
      <c r="AR5">
        <v>8</v>
      </c>
      <c r="AS5">
        <v>4</v>
      </c>
      <c r="BQ5">
        <v>5</v>
      </c>
      <c r="BR5">
        <v>2</v>
      </c>
      <c r="BS5">
        <v>2</v>
      </c>
      <c r="BT5">
        <v>3</v>
      </c>
      <c r="BU5">
        <v>2</v>
      </c>
      <c r="BV5">
        <v>1</v>
      </c>
      <c r="BW5">
        <v>4</v>
      </c>
      <c r="BX5">
        <v>2</v>
      </c>
      <c r="BY5">
        <v>2</v>
      </c>
      <c r="BZ5">
        <v>2</v>
      </c>
      <c r="CA5">
        <v>1</v>
      </c>
      <c r="CB5">
        <v>1</v>
      </c>
      <c r="CC5">
        <v>13</v>
      </c>
      <c r="CD5">
        <v>2</v>
      </c>
      <c r="CE5">
        <v>1</v>
      </c>
      <c r="CF5">
        <v>2</v>
      </c>
      <c r="CG5">
        <v>24</v>
      </c>
      <c r="CH5">
        <v>23</v>
      </c>
      <c r="CI5">
        <v>25</v>
      </c>
      <c r="CJ5">
        <v>22</v>
      </c>
      <c r="CK5">
        <v>24</v>
      </c>
      <c r="CL5">
        <v>23</v>
      </c>
      <c r="CM5">
        <v>20</v>
      </c>
      <c r="CN5">
        <v>20</v>
      </c>
      <c r="CO5">
        <v>22</v>
      </c>
      <c r="CP5" s="26">
        <v>20</v>
      </c>
      <c r="CQ5" s="20">
        <v>7</v>
      </c>
      <c r="CR5" s="24">
        <v>25.952380952380953</v>
      </c>
      <c r="CS5" s="24">
        <v>26.357142857142861</v>
      </c>
      <c r="CT5" s="24">
        <v>8.25</v>
      </c>
      <c r="CU5" s="24">
        <v>377.85714285714283</v>
      </c>
      <c r="CV5" s="24">
        <v>337.85714285714283</v>
      </c>
      <c r="CW5" s="24">
        <v>24.285714285714285</v>
      </c>
      <c r="CX5" s="24">
        <v>90.287588638010817</v>
      </c>
      <c r="CY5" s="25">
        <v>15.714285714285714</v>
      </c>
      <c r="CZ5" s="20">
        <v>7</v>
      </c>
      <c r="DA5" s="24">
        <v>26.952380952380953</v>
      </c>
      <c r="DB5" s="24">
        <v>27.190476190476186</v>
      </c>
      <c r="DC5" s="24">
        <v>8.9738095238095248</v>
      </c>
      <c r="DD5" s="24">
        <v>9.25</v>
      </c>
      <c r="DE5" s="24">
        <v>377.85714285714283</v>
      </c>
      <c r="DF5" s="24">
        <v>314.71428571428572</v>
      </c>
      <c r="DG5" s="24">
        <v>14.285714285714286</v>
      </c>
      <c r="DH5" s="24">
        <v>82.952857142857141</v>
      </c>
      <c r="DI5" s="24">
        <v>32.285714285714285</v>
      </c>
      <c r="DJ5" s="24">
        <v>84.425018670501842</v>
      </c>
      <c r="DK5" s="24">
        <v>91.832511160224414</v>
      </c>
      <c r="DL5" s="25">
        <v>87.996744044045528</v>
      </c>
      <c r="DM5" s="20">
        <v>19</v>
      </c>
      <c r="DN5" s="24">
        <v>23.368421052631579</v>
      </c>
      <c r="DO5" s="24">
        <v>24.17982456140351</v>
      </c>
      <c r="DP5" s="24">
        <v>7.1622807017543861</v>
      </c>
      <c r="DQ5" s="24">
        <v>467.63157894736844</v>
      </c>
      <c r="DR5" s="24">
        <v>410.26315789473682</v>
      </c>
      <c r="DS5" s="24">
        <v>48.684210526315788</v>
      </c>
      <c r="DT5" s="24">
        <v>87.519310353657303</v>
      </c>
      <c r="DU5" s="25">
        <v>8.6842105263157894</v>
      </c>
      <c r="DV5" s="20">
        <v>20</v>
      </c>
      <c r="DW5" s="24">
        <v>23.368421052631579</v>
      </c>
      <c r="DX5" s="24">
        <v>23.780701754385962</v>
      </c>
      <c r="DY5" s="24">
        <v>6.4631578947368418</v>
      </c>
      <c r="DZ5" s="24">
        <v>7.1622807017543861</v>
      </c>
      <c r="EA5" s="24">
        <v>467.63157894736844</v>
      </c>
      <c r="EB5" s="24">
        <v>375.68421052631578</v>
      </c>
      <c r="EC5" s="24">
        <v>375.68421052631578</v>
      </c>
      <c r="ED5" s="24">
        <v>79.316842105263163</v>
      </c>
      <c r="EE5" s="24">
        <v>25.263157894736842</v>
      </c>
      <c r="EF5" s="24">
        <v>85.707495590595457</v>
      </c>
      <c r="EG5" s="24">
        <v>95.410166148463404</v>
      </c>
      <c r="EH5" s="25">
        <v>87.861995425671495</v>
      </c>
      <c r="EI5" s="20">
        <v>19</v>
      </c>
      <c r="EJ5" s="24">
        <v>23.368421052631579</v>
      </c>
      <c r="EK5" s="24">
        <v>24.17982456140351</v>
      </c>
      <c r="EL5" s="24">
        <v>7.1622807017543861</v>
      </c>
      <c r="EM5" s="24">
        <v>467.63157894736844</v>
      </c>
      <c r="EN5" s="24">
        <v>410.26315789473682</v>
      </c>
      <c r="EO5" s="24">
        <v>48.684210526315788</v>
      </c>
      <c r="EP5" s="24">
        <v>87.519310353657303</v>
      </c>
      <c r="EQ5" s="25">
        <v>8.6842105263157894</v>
      </c>
      <c r="ER5" s="20">
        <v>19</v>
      </c>
      <c r="ES5" s="24">
        <v>23.368421052631579</v>
      </c>
      <c r="ET5" s="24">
        <v>23.780701754385962</v>
      </c>
      <c r="EU5" s="24">
        <v>6.4631578947368418</v>
      </c>
      <c r="EV5" s="24">
        <v>7.1622807017543861</v>
      </c>
      <c r="EW5" s="24">
        <v>467.63157894736844</v>
      </c>
      <c r="EX5" s="24">
        <v>375.68421052631578</v>
      </c>
      <c r="EY5" s="24">
        <v>24.736842105263158</v>
      </c>
      <c r="EZ5" s="24">
        <v>79.316842105263163</v>
      </c>
      <c r="FA5" s="24">
        <v>25.263157894736842</v>
      </c>
      <c r="FB5" s="24">
        <v>85.707495590595457</v>
      </c>
      <c r="FC5" s="24">
        <v>95.410166148463404</v>
      </c>
      <c r="FD5" s="24">
        <v>87.861995425671495</v>
      </c>
    </row>
    <row r="6" spans="1:160" x14ac:dyDescent="0.25">
      <c r="A6">
        <v>4020</v>
      </c>
      <c r="B6">
        <v>1</v>
      </c>
      <c r="C6">
        <v>36</v>
      </c>
      <c r="D6" s="1">
        <v>1.73</v>
      </c>
      <c r="E6">
        <v>74</v>
      </c>
      <c r="F6">
        <v>24.73</v>
      </c>
      <c r="G6">
        <v>2</v>
      </c>
      <c r="H6">
        <v>13</v>
      </c>
      <c r="I6">
        <v>31</v>
      </c>
      <c r="J6">
        <v>2</v>
      </c>
      <c r="K6">
        <v>1</v>
      </c>
      <c r="L6">
        <v>3</v>
      </c>
      <c r="M6" s="1">
        <v>22.45</v>
      </c>
      <c r="O6" s="1">
        <v>23</v>
      </c>
      <c r="P6" s="1">
        <v>0.55000000000000004</v>
      </c>
      <c r="Q6" s="1">
        <v>23.96</v>
      </c>
      <c r="R6" s="1">
        <v>1.51</v>
      </c>
      <c r="S6" s="1">
        <v>22</v>
      </c>
      <c r="T6">
        <v>1</v>
      </c>
      <c r="U6">
        <v>2</v>
      </c>
      <c r="V6">
        <v>0</v>
      </c>
      <c r="W6">
        <v>8</v>
      </c>
      <c r="X6">
        <v>1</v>
      </c>
      <c r="Y6">
        <v>7</v>
      </c>
      <c r="Z6">
        <v>5</v>
      </c>
      <c r="AA6">
        <v>1</v>
      </c>
      <c r="AB6">
        <v>1</v>
      </c>
      <c r="AC6">
        <v>10</v>
      </c>
      <c r="AD6">
        <v>2</v>
      </c>
      <c r="AE6">
        <v>2</v>
      </c>
      <c r="AF6">
        <v>3</v>
      </c>
      <c r="AG6">
        <v>2</v>
      </c>
      <c r="AH6">
        <v>2</v>
      </c>
      <c r="AI6">
        <v>2</v>
      </c>
      <c r="AJ6">
        <v>0</v>
      </c>
      <c r="AK6">
        <v>2</v>
      </c>
      <c r="AL6">
        <v>13</v>
      </c>
      <c r="AM6">
        <v>2</v>
      </c>
      <c r="AN6">
        <v>2</v>
      </c>
      <c r="AO6">
        <v>6</v>
      </c>
      <c r="AP6">
        <v>4</v>
      </c>
      <c r="AQ6">
        <v>12</v>
      </c>
      <c r="AR6">
        <v>2</v>
      </c>
      <c r="AS6">
        <v>4</v>
      </c>
      <c r="BQ6">
        <v>3</v>
      </c>
      <c r="BR6">
        <v>2</v>
      </c>
      <c r="BS6">
        <v>1</v>
      </c>
      <c r="BT6">
        <v>3</v>
      </c>
      <c r="BU6">
        <v>2</v>
      </c>
      <c r="BV6">
        <v>1</v>
      </c>
      <c r="BW6">
        <v>2</v>
      </c>
      <c r="BX6">
        <v>1</v>
      </c>
      <c r="BY6">
        <v>1</v>
      </c>
      <c r="BZ6">
        <v>1</v>
      </c>
      <c r="CA6">
        <v>3</v>
      </c>
      <c r="CB6">
        <v>1</v>
      </c>
      <c r="CC6">
        <v>5</v>
      </c>
      <c r="CD6">
        <v>5</v>
      </c>
      <c r="CE6">
        <v>2</v>
      </c>
      <c r="CF6">
        <v>2</v>
      </c>
      <c r="CG6">
        <v>27</v>
      </c>
      <c r="CH6">
        <v>18</v>
      </c>
      <c r="CI6">
        <v>24</v>
      </c>
      <c r="CJ6">
        <v>18</v>
      </c>
      <c r="CK6">
        <v>18</v>
      </c>
      <c r="CL6">
        <v>18</v>
      </c>
      <c r="CM6">
        <v>16</v>
      </c>
      <c r="CN6">
        <v>17</v>
      </c>
      <c r="CO6">
        <v>17</v>
      </c>
      <c r="CP6" s="26">
        <v>18</v>
      </c>
      <c r="CQ6" s="20">
        <v>7</v>
      </c>
      <c r="CR6" s="24">
        <v>23.285714285714285</v>
      </c>
      <c r="CS6" s="24">
        <v>24.142857142857142</v>
      </c>
      <c r="CT6" s="24">
        <v>7.0357142857142856</v>
      </c>
      <c r="CU6" s="24">
        <v>465</v>
      </c>
      <c r="CV6" s="24">
        <v>390</v>
      </c>
      <c r="CW6" s="24">
        <v>51.428571428571431</v>
      </c>
      <c r="CX6" s="24">
        <v>83.147130647130666</v>
      </c>
      <c r="CY6" s="25">
        <v>23.571428571428573</v>
      </c>
      <c r="CZ6" s="20">
        <v>7</v>
      </c>
      <c r="DA6" s="24">
        <v>23.964285714285715</v>
      </c>
      <c r="DB6" s="24">
        <v>24.316666666666666</v>
      </c>
      <c r="DC6" s="24">
        <v>7.4452380952380954</v>
      </c>
      <c r="DD6" s="24">
        <v>7.5</v>
      </c>
      <c r="DE6" s="24">
        <v>452.14285714285717</v>
      </c>
      <c r="DF6" s="24">
        <v>362.42857142857144</v>
      </c>
      <c r="DG6" s="24">
        <v>21.142857142857142</v>
      </c>
      <c r="DH6" s="24">
        <v>80.057142857142864</v>
      </c>
      <c r="DI6" s="24">
        <v>65.285714285714292</v>
      </c>
      <c r="DJ6" s="24">
        <v>73.896768108952983</v>
      </c>
      <c r="DK6" s="24">
        <v>88.123924783588649</v>
      </c>
      <c r="DL6" s="25">
        <v>85.452663971571525</v>
      </c>
      <c r="DM6" s="20">
        <v>4</v>
      </c>
      <c r="DN6" s="24">
        <v>23.75</v>
      </c>
      <c r="DO6" s="24">
        <v>24.1875</v>
      </c>
      <c r="DP6" s="24">
        <v>7.25</v>
      </c>
      <c r="DQ6" s="24">
        <v>450</v>
      </c>
      <c r="DR6" s="24">
        <v>420</v>
      </c>
      <c r="DS6" s="24">
        <v>26.25</v>
      </c>
      <c r="DT6" s="24">
        <v>93.022411616161619</v>
      </c>
      <c r="DU6" s="25">
        <v>3.75</v>
      </c>
      <c r="DV6" s="20">
        <v>4</v>
      </c>
      <c r="DW6" s="24">
        <v>23</v>
      </c>
      <c r="DX6" s="24">
        <v>23</v>
      </c>
      <c r="DY6" s="24">
        <v>6.1708333333333343</v>
      </c>
      <c r="DZ6" s="24">
        <v>6.375</v>
      </c>
      <c r="EA6" s="24">
        <v>442.5</v>
      </c>
      <c r="EB6" s="24">
        <v>392</v>
      </c>
      <c r="EC6" s="24">
        <v>392</v>
      </c>
      <c r="ED6" s="24">
        <v>88.552500000000009</v>
      </c>
      <c r="EE6" s="24">
        <v>38.25</v>
      </c>
      <c r="EF6" s="24">
        <v>93.55251656238498</v>
      </c>
      <c r="EG6" s="24">
        <v>90.865039565697458</v>
      </c>
      <c r="EH6" s="25">
        <v>85.672731873389779</v>
      </c>
      <c r="EI6" s="20">
        <v>3</v>
      </c>
      <c r="EJ6" s="24">
        <v>23.5</v>
      </c>
      <c r="EK6" s="24">
        <v>24</v>
      </c>
      <c r="EL6" s="24">
        <v>6.5</v>
      </c>
      <c r="EM6" s="24">
        <v>420</v>
      </c>
      <c r="EN6" s="24">
        <v>385</v>
      </c>
      <c r="EO6" s="24">
        <v>30</v>
      </c>
      <c r="EP6" s="24">
        <v>91.622474747474755</v>
      </c>
      <c r="EQ6" s="25">
        <v>5</v>
      </c>
      <c r="ER6" s="20">
        <v>2</v>
      </c>
      <c r="ES6" s="24">
        <v>23</v>
      </c>
      <c r="ET6" s="24">
        <v>23</v>
      </c>
      <c r="EU6" s="24">
        <v>6.4083333333333332</v>
      </c>
      <c r="EV6" s="24">
        <v>6.5</v>
      </c>
      <c r="EW6" s="24">
        <v>450</v>
      </c>
      <c r="EX6" s="24">
        <v>411</v>
      </c>
      <c r="EY6" s="24">
        <v>0</v>
      </c>
      <c r="EZ6" s="24">
        <v>91.63</v>
      </c>
      <c r="FA6" s="24">
        <v>33.5</v>
      </c>
      <c r="FB6" s="24">
        <v>92.153110047846894</v>
      </c>
      <c r="FC6" s="24">
        <v>90.143540669856463</v>
      </c>
      <c r="FD6" s="24">
        <v>95.143540669856463</v>
      </c>
    </row>
    <row r="7" spans="1:160" x14ac:dyDescent="0.25">
      <c r="A7">
        <v>4021</v>
      </c>
      <c r="B7">
        <v>2</v>
      </c>
      <c r="C7">
        <v>20</v>
      </c>
      <c r="D7" s="1">
        <v>1.62</v>
      </c>
      <c r="E7">
        <v>50</v>
      </c>
      <c r="F7">
        <v>19.05</v>
      </c>
      <c r="G7">
        <v>1</v>
      </c>
      <c r="H7">
        <v>6</v>
      </c>
      <c r="I7">
        <v>33</v>
      </c>
      <c r="J7">
        <v>2</v>
      </c>
      <c r="L7">
        <v>3</v>
      </c>
      <c r="M7" s="1">
        <v>22.63</v>
      </c>
      <c r="O7" s="1">
        <v>22</v>
      </c>
      <c r="P7" s="1">
        <v>-0.63</v>
      </c>
      <c r="Q7" s="1">
        <v>26.89</v>
      </c>
      <c r="R7" s="1">
        <v>4.26</v>
      </c>
      <c r="S7" s="1">
        <v>21</v>
      </c>
      <c r="T7">
        <v>0</v>
      </c>
      <c r="U7">
        <v>2</v>
      </c>
      <c r="V7">
        <v>0</v>
      </c>
      <c r="W7">
        <v>11</v>
      </c>
      <c r="X7">
        <v>2</v>
      </c>
      <c r="Y7">
        <v>1</v>
      </c>
      <c r="Z7">
        <v>0</v>
      </c>
      <c r="AA7">
        <v>1</v>
      </c>
      <c r="AB7">
        <v>1</v>
      </c>
      <c r="AC7">
        <v>6</v>
      </c>
      <c r="AD7">
        <v>1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1</v>
      </c>
      <c r="AL7">
        <v>2</v>
      </c>
      <c r="AM7">
        <v>1</v>
      </c>
      <c r="AN7">
        <v>5</v>
      </c>
      <c r="AO7">
        <v>2</v>
      </c>
      <c r="AP7">
        <v>2</v>
      </c>
      <c r="AQ7">
        <v>9</v>
      </c>
      <c r="AR7">
        <v>0</v>
      </c>
      <c r="AS7">
        <v>12</v>
      </c>
      <c r="BQ7">
        <v>3</v>
      </c>
      <c r="BR7">
        <v>2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4</v>
      </c>
      <c r="CB7">
        <v>2</v>
      </c>
      <c r="CC7">
        <v>2</v>
      </c>
      <c r="CD7">
        <v>6</v>
      </c>
      <c r="CE7">
        <v>2</v>
      </c>
      <c r="CF7">
        <v>1</v>
      </c>
      <c r="CG7">
        <v>13</v>
      </c>
      <c r="CH7">
        <v>12</v>
      </c>
      <c r="CI7">
        <v>14</v>
      </c>
      <c r="CJ7">
        <v>16</v>
      </c>
      <c r="CK7">
        <v>17</v>
      </c>
      <c r="CL7">
        <v>27</v>
      </c>
      <c r="CM7">
        <v>16</v>
      </c>
      <c r="CN7">
        <v>11</v>
      </c>
      <c r="CO7">
        <v>13</v>
      </c>
      <c r="CP7" s="26">
        <v>10</v>
      </c>
      <c r="CQ7" s="20">
        <v>6</v>
      </c>
      <c r="CR7" s="24">
        <v>23.083333333333332</v>
      </c>
      <c r="CS7" s="24">
        <v>23.222222222222225</v>
      </c>
      <c r="CT7" s="24">
        <v>8.5138888888888875</v>
      </c>
      <c r="CU7" s="24">
        <v>565.83333333333337</v>
      </c>
      <c r="CV7" s="24">
        <v>540</v>
      </c>
      <c r="CW7" s="24">
        <v>8.3333333333333339</v>
      </c>
      <c r="CX7" s="24">
        <v>95.504790863677783</v>
      </c>
      <c r="CY7" s="25">
        <v>17.5</v>
      </c>
      <c r="CZ7" s="20">
        <v>7</v>
      </c>
      <c r="DA7" s="24">
        <v>26.892857142857142</v>
      </c>
      <c r="DB7" s="24">
        <v>26.988095238095237</v>
      </c>
      <c r="DC7" s="24">
        <v>9.3523809523809529</v>
      </c>
      <c r="DD7" s="24">
        <v>9.4880952380952372</v>
      </c>
      <c r="DE7" s="24">
        <v>395.71428571428572</v>
      </c>
      <c r="DF7" s="24">
        <v>351</v>
      </c>
      <c r="DG7" s="24">
        <v>5.7142857142857144</v>
      </c>
      <c r="DH7" s="24">
        <v>88.787142857142854</v>
      </c>
      <c r="DI7" s="24">
        <v>30.857142857142858</v>
      </c>
      <c r="DJ7" s="24">
        <v>90.33496793994685</v>
      </c>
      <c r="DK7" s="24">
        <v>91.805474314153017</v>
      </c>
      <c r="DL7" s="25">
        <v>88.043341334557184</v>
      </c>
      <c r="DM7" s="20">
        <v>15</v>
      </c>
      <c r="DN7" s="24">
        <v>22.738888888888887</v>
      </c>
      <c r="DO7" s="24">
        <v>23.244444444444444</v>
      </c>
      <c r="DP7" s="24">
        <v>7.8388888888888886</v>
      </c>
      <c r="DQ7" s="24">
        <v>546</v>
      </c>
      <c r="DR7" s="24">
        <v>511.78571428571428</v>
      </c>
      <c r="DS7" s="24">
        <v>30.333333333333332</v>
      </c>
      <c r="DT7" s="24">
        <v>93.472073131646155</v>
      </c>
      <c r="DU7" s="25">
        <v>8.2142857142857135</v>
      </c>
      <c r="DV7" s="20">
        <v>15</v>
      </c>
      <c r="DW7" s="24">
        <v>22.738888888888887</v>
      </c>
      <c r="DX7" s="24">
        <v>23.026666666666667</v>
      </c>
      <c r="DY7" s="24">
        <v>7.6499999999999995</v>
      </c>
      <c r="DZ7" s="24">
        <v>7.8388888888888886</v>
      </c>
      <c r="EA7" s="24">
        <v>546</v>
      </c>
      <c r="EB7" s="24">
        <v>467.46666666666664</v>
      </c>
      <c r="EC7" s="24">
        <v>467.46666666666664</v>
      </c>
      <c r="ED7" s="24">
        <v>85.598666666666688</v>
      </c>
      <c r="EE7" s="24">
        <v>49.93333333333333</v>
      </c>
      <c r="EF7" s="24">
        <v>85.817836499759963</v>
      </c>
      <c r="EG7" s="24">
        <v>91.24553583323349</v>
      </c>
      <c r="EH7" s="25">
        <v>86.558027743386376</v>
      </c>
      <c r="EI7" s="20">
        <v>15</v>
      </c>
      <c r="EJ7" s="24">
        <v>22.738888888888887</v>
      </c>
      <c r="EK7" s="24">
        <v>23.244444444444444</v>
      </c>
      <c r="EL7" s="24">
        <v>7.8388888888888886</v>
      </c>
      <c r="EM7" s="24">
        <v>546</v>
      </c>
      <c r="EN7" s="24">
        <v>511.78571428571428</v>
      </c>
      <c r="EO7" s="24">
        <v>30.333333333333332</v>
      </c>
      <c r="EP7" s="24">
        <v>93.472073131646155</v>
      </c>
      <c r="EQ7" s="25">
        <v>8.2142857142857135</v>
      </c>
      <c r="ER7" s="20">
        <v>15</v>
      </c>
      <c r="ES7" s="24">
        <v>22.738888888888887</v>
      </c>
      <c r="ET7" s="24">
        <v>23.026666666666667</v>
      </c>
      <c r="EU7" s="24">
        <v>7.6499999999999995</v>
      </c>
      <c r="EV7" s="24">
        <v>7.8388888888888886</v>
      </c>
      <c r="EW7" s="24">
        <v>546</v>
      </c>
      <c r="EX7" s="24">
        <v>467.46666666666664</v>
      </c>
      <c r="EY7" s="24">
        <v>17.266666666666666</v>
      </c>
      <c r="EZ7" s="24">
        <v>85.598666666666688</v>
      </c>
      <c r="FA7" s="24">
        <v>49.93333333333333</v>
      </c>
      <c r="FB7" s="24">
        <v>85.817836499759963</v>
      </c>
      <c r="FC7" s="24">
        <v>91.24553583323349</v>
      </c>
      <c r="FD7" s="24">
        <v>86.558027743386376</v>
      </c>
    </row>
    <row r="8" spans="1:160" x14ac:dyDescent="0.25">
      <c r="A8">
        <v>4023</v>
      </c>
      <c r="B8">
        <v>1</v>
      </c>
      <c r="C8">
        <v>36</v>
      </c>
      <c r="D8" s="1">
        <v>1.86</v>
      </c>
      <c r="E8">
        <v>95</v>
      </c>
      <c r="F8">
        <v>27.46</v>
      </c>
      <c r="G8">
        <v>1</v>
      </c>
      <c r="H8">
        <v>9</v>
      </c>
      <c r="I8">
        <v>30</v>
      </c>
      <c r="J8">
        <v>2</v>
      </c>
      <c r="K8">
        <v>2</v>
      </c>
      <c r="L8">
        <v>3</v>
      </c>
      <c r="M8" s="1">
        <v>22.8</v>
      </c>
      <c r="O8" s="1">
        <v>22</v>
      </c>
      <c r="P8" s="1">
        <v>-0.8</v>
      </c>
      <c r="S8" s="1">
        <v>21</v>
      </c>
      <c r="T8">
        <v>0</v>
      </c>
      <c r="U8">
        <v>2</v>
      </c>
      <c r="V8">
        <v>0</v>
      </c>
      <c r="W8">
        <v>7</v>
      </c>
      <c r="X8">
        <v>1</v>
      </c>
      <c r="Y8">
        <v>2</v>
      </c>
      <c r="Z8">
        <v>5</v>
      </c>
      <c r="AA8">
        <v>1</v>
      </c>
      <c r="AB8">
        <v>1</v>
      </c>
      <c r="AC8">
        <v>7</v>
      </c>
      <c r="AD8">
        <v>1</v>
      </c>
      <c r="AE8">
        <v>1</v>
      </c>
      <c r="AF8">
        <v>3</v>
      </c>
      <c r="AG8">
        <v>3</v>
      </c>
      <c r="AH8">
        <v>1</v>
      </c>
      <c r="AI8">
        <v>1</v>
      </c>
      <c r="AJ8">
        <v>0</v>
      </c>
      <c r="AK8">
        <v>3</v>
      </c>
      <c r="AL8">
        <v>12</v>
      </c>
      <c r="AM8">
        <v>2</v>
      </c>
      <c r="AN8">
        <v>3</v>
      </c>
      <c r="AO8">
        <v>2</v>
      </c>
      <c r="AP8">
        <v>3</v>
      </c>
      <c r="AQ8">
        <v>8</v>
      </c>
      <c r="AR8">
        <v>0</v>
      </c>
      <c r="AS8">
        <v>0</v>
      </c>
      <c r="AT8">
        <v>3</v>
      </c>
      <c r="AU8">
        <v>1</v>
      </c>
      <c r="AV8">
        <v>1</v>
      </c>
      <c r="AW8">
        <v>0</v>
      </c>
      <c r="AX8">
        <v>1</v>
      </c>
      <c r="AY8">
        <v>1</v>
      </c>
      <c r="AZ8">
        <v>4</v>
      </c>
      <c r="BA8">
        <v>1</v>
      </c>
      <c r="BB8">
        <v>1</v>
      </c>
      <c r="BC8">
        <v>3</v>
      </c>
      <c r="BD8">
        <v>2</v>
      </c>
      <c r="BE8">
        <v>3</v>
      </c>
      <c r="BF8">
        <v>1</v>
      </c>
      <c r="BG8">
        <v>0</v>
      </c>
      <c r="BH8">
        <v>0</v>
      </c>
      <c r="BI8">
        <v>10</v>
      </c>
      <c r="BJ8">
        <v>2</v>
      </c>
      <c r="BK8">
        <v>1</v>
      </c>
      <c r="BL8">
        <v>1</v>
      </c>
      <c r="BM8">
        <v>1</v>
      </c>
      <c r="BN8">
        <v>3</v>
      </c>
      <c r="BO8">
        <v>0</v>
      </c>
      <c r="BP8">
        <v>0</v>
      </c>
      <c r="BQ8">
        <v>4</v>
      </c>
      <c r="BR8">
        <v>2</v>
      </c>
      <c r="BS8">
        <v>2</v>
      </c>
      <c r="BT8">
        <v>4</v>
      </c>
      <c r="BU8">
        <v>2</v>
      </c>
      <c r="BV8">
        <v>2</v>
      </c>
      <c r="BW8">
        <v>4</v>
      </c>
      <c r="BX8">
        <v>2</v>
      </c>
      <c r="BY8">
        <v>2</v>
      </c>
      <c r="BZ8">
        <v>2</v>
      </c>
      <c r="CA8">
        <v>1</v>
      </c>
      <c r="CB8">
        <v>1</v>
      </c>
      <c r="CC8">
        <v>13</v>
      </c>
      <c r="CD8">
        <v>2</v>
      </c>
      <c r="CE8">
        <v>1</v>
      </c>
      <c r="CF8">
        <v>1</v>
      </c>
      <c r="CG8">
        <v>25</v>
      </c>
      <c r="CH8">
        <v>23</v>
      </c>
      <c r="CI8">
        <v>21</v>
      </c>
      <c r="CJ8">
        <v>18</v>
      </c>
      <c r="CK8">
        <v>17</v>
      </c>
      <c r="CL8">
        <v>15</v>
      </c>
      <c r="CM8">
        <v>15</v>
      </c>
      <c r="CN8">
        <v>12</v>
      </c>
      <c r="CO8">
        <v>11</v>
      </c>
      <c r="CP8" s="26">
        <v>14</v>
      </c>
      <c r="CQ8" s="20">
        <v>7</v>
      </c>
      <c r="CR8" s="24">
        <v>23.642857142857142</v>
      </c>
      <c r="CS8" s="24">
        <v>25.357142857142858</v>
      </c>
      <c r="CT8" s="24">
        <v>6.4642857142857144</v>
      </c>
      <c r="CU8" s="24">
        <v>409.28571428571428</v>
      </c>
      <c r="CV8" s="24">
        <v>287.85714285714283</v>
      </c>
      <c r="CW8" s="24">
        <v>102.85714285714286</v>
      </c>
      <c r="CX8" s="24">
        <v>71.367947528661816</v>
      </c>
      <c r="CY8" s="25">
        <v>18.571428571428573</v>
      </c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5"/>
      <c r="DM8" s="20">
        <v>27</v>
      </c>
      <c r="DN8" s="24">
        <v>22.388888888888889</v>
      </c>
      <c r="DO8" s="24">
        <v>23.537037037037038</v>
      </c>
      <c r="DP8" s="24">
        <v>6.5925925925925926</v>
      </c>
      <c r="DQ8" s="24">
        <v>492.22222222222223</v>
      </c>
      <c r="DR8" s="24">
        <v>406.25</v>
      </c>
      <c r="DS8" s="24">
        <v>68.888888888888886</v>
      </c>
      <c r="DT8" s="24">
        <v>82.751240847216053</v>
      </c>
      <c r="DU8" s="25">
        <v>10.75</v>
      </c>
      <c r="DV8" s="20">
        <v>27</v>
      </c>
      <c r="DW8" s="24">
        <v>22.907407407407408</v>
      </c>
      <c r="DX8" s="24">
        <v>23.25802469135802</v>
      </c>
      <c r="DY8" s="24">
        <v>6.5413580246913607</v>
      </c>
      <c r="DZ8" s="24">
        <v>6.7901234567901225</v>
      </c>
      <c r="EA8" s="24">
        <v>472.96296296296299</v>
      </c>
      <c r="EB8" s="24">
        <v>385.77777777777777</v>
      </c>
      <c r="EC8" s="24">
        <v>385.77777777777777</v>
      </c>
      <c r="ED8" s="24">
        <v>81.698518518518526</v>
      </c>
      <c r="EE8" s="24">
        <v>51.222222222222221</v>
      </c>
      <c r="EF8" s="24">
        <v>79.933308914518065</v>
      </c>
      <c r="EG8" s="24">
        <v>91.67619967465167</v>
      </c>
      <c r="EH8" s="25">
        <v>85.059208069829012</v>
      </c>
      <c r="EI8" s="20">
        <v>24</v>
      </c>
      <c r="EJ8" s="24">
        <v>22.166666666666668</v>
      </c>
      <c r="EK8" s="24">
        <v>23.375</v>
      </c>
      <c r="EL8" s="24">
        <v>6.625</v>
      </c>
      <c r="EM8" s="24">
        <v>507.5</v>
      </c>
      <c r="EN8" s="24">
        <v>415.27777777777777</v>
      </c>
      <c r="EO8" s="24">
        <v>72.5</v>
      </c>
      <c r="EP8" s="24">
        <v>81.914958966042548</v>
      </c>
      <c r="EQ8" s="25">
        <v>11.388888888888889</v>
      </c>
      <c r="ER8" s="20">
        <v>19</v>
      </c>
      <c r="ES8" s="24">
        <v>22.315789473684209</v>
      </c>
      <c r="ET8" s="24">
        <v>22.699122807017549</v>
      </c>
      <c r="EU8" s="24">
        <v>6.4728070175438601</v>
      </c>
      <c r="EV8" s="24">
        <v>6.780701754385964</v>
      </c>
      <c r="EW8" s="24">
        <v>507.89473684210526</v>
      </c>
      <c r="EX8" s="24">
        <v>410.26315789473682</v>
      </c>
      <c r="EY8" s="24">
        <v>23</v>
      </c>
      <c r="EZ8" s="24">
        <v>80.737894736842122</v>
      </c>
      <c r="FA8" s="24">
        <v>56.157894736842103</v>
      </c>
      <c r="FB8" s="24">
        <v>78.959838321293432</v>
      </c>
      <c r="FC8" s="24">
        <v>91.629630384009559</v>
      </c>
      <c r="FD8" s="24">
        <v>84.185457516339866</v>
      </c>
    </row>
    <row r="9" spans="1:160" x14ac:dyDescent="0.25">
      <c r="A9">
        <v>4024</v>
      </c>
      <c r="B9">
        <v>1</v>
      </c>
      <c r="C9">
        <v>23</v>
      </c>
      <c r="D9" s="1">
        <v>1.77</v>
      </c>
      <c r="E9">
        <v>99</v>
      </c>
      <c r="F9">
        <v>31.6</v>
      </c>
      <c r="G9">
        <v>1</v>
      </c>
      <c r="H9">
        <v>10</v>
      </c>
      <c r="I9">
        <v>25</v>
      </c>
      <c r="J9">
        <v>2</v>
      </c>
      <c r="K9">
        <v>2</v>
      </c>
      <c r="L9">
        <v>3</v>
      </c>
      <c r="M9" s="1">
        <v>23.45</v>
      </c>
      <c r="O9" s="1">
        <v>24</v>
      </c>
      <c r="P9" s="1">
        <v>0.55000000000000004</v>
      </c>
      <c r="Q9" s="1">
        <v>27.39</v>
      </c>
      <c r="R9" s="1">
        <v>3.94</v>
      </c>
      <c r="S9" s="1">
        <v>23</v>
      </c>
      <c r="T9">
        <v>0</v>
      </c>
      <c r="U9">
        <v>1</v>
      </c>
      <c r="V9">
        <v>0</v>
      </c>
      <c r="W9">
        <v>8</v>
      </c>
      <c r="X9">
        <v>1</v>
      </c>
      <c r="Y9">
        <v>6</v>
      </c>
      <c r="Z9">
        <v>3</v>
      </c>
      <c r="AA9">
        <v>1</v>
      </c>
      <c r="AB9">
        <v>1</v>
      </c>
      <c r="AC9">
        <v>9</v>
      </c>
      <c r="AD9">
        <v>2</v>
      </c>
      <c r="AE9">
        <v>1</v>
      </c>
      <c r="AF9">
        <v>2</v>
      </c>
      <c r="AG9">
        <v>1</v>
      </c>
      <c r="AH9">
        <v>0</v>
      </c>
      <c r="AI9">
        <v>1</v>
      </c>
      <c r="AJ9">
        <v>0</v>
      </c>
      <c r="AK9">
        <v>1</v>
      </c>
      <c r="AL9">
        <v>6</v>
      </c>
      <c r="AM9">
        <v>2</v>
      </c>
      <c r="AN9">
        <v>5</v>
      </c>
      <c r="AO9">
        <v>3</v>
      </c>
      <c r="AP9">
        <v>2</v>
      </c>
      <c r="AQ9">
        <v>10</v>
      </c>
      <c r="AR9">
        <v>7</v>
      </c>
      <c r="AS9">
        <v>3</v>
      </c>
      <c r="AT9">
        <v>4</v>
      </c>
      <c r="AU9">
        <v>1</v>
      </c>
      <c r="AV9">
        <v>1</v>
      </c>
      <c r="AW9">
        <v>3</v>
      </c>
      <c r="AX9">
        <v>1</v>
      </c>
      <c r="AY9">
        <v>1</v>
      </c>
      <c r="AZ9">
        <v>6</v>
      </c>
      <c r="BA9">
        <v>1</v>
      </c>
      <c r="BB9">
        <v>1</v>
      </c>
      <c r="BC9">
        <v>1</v>
      </c>
      <c r="BD9">
        <v>0</v>
      </c>
      <c r="BE9">
        <v>0</v>
      </c>
      <c r="BF9">
        <v>1</v>
      </c>
      <c r="BG9">
        <v>3</v>
      </c>
      <c r="BH9">
        <v>2</v>
      </c>
      <c r="BI9">
        <v>8</v>
      </c>
      <c r="BJ9">
        <v>2</v>
      </c>
      <c r="BK9">
        <v>5</v>
      </c>
      <c r="BL9">
        <v>3</v>
      </c>
      <c r="BM9">
        <v>3</v>
      </c>
      <c r="BN9">
        <v>11</v>
      </c>
      <c r="BO9">
        <v>3</v>
      </c>
      <c r="BP9">
        <v>5</v>
      </c>
      <c r="BQ9">
        <v>5</v>
      </c>
      <c r="BR9">
        <v>2</v>
      </c>
      <c r="BS9">
        <v>2</v>
      </c>
      <c r="BT9">
        <v>2</v>
      </c>
      <c r="BU9">
        <v>1</v>
      </c>
      <c r="BV9">
        <v>1</v>
      </c>
      <c r="BW9">
        <v>2</v>
      </c>
      <c r="BX9">
        <v>1</v>
      </c>
      <c r="BY9">
        <v>1</v>
      </c>
      <c r="BZ9">
        <v>1</v>
      </c>
      <c r="CA9">
        <v>3</v>
      </c>
      <c r="CB9">
        <v>1</v>
      </c>
      <c r="CC9">
        <v>5</v>
      </c>
      <c r="CD9">
        <v>6</v>
      </c>
      <c r="CE9">
        <v>2</v>
      </c>
      <c r="CF9">
        <v>1</v>
      </c>
      <c r="CG9">
        <v>17</v>
      </c>
      <c r="CH9">
        <v>17</v>
      </c>
      <c r="CI9">
        <v>13</v>
      </c>
      <c r="CJ9">
        <v>21</v>
      </c>
      <c r="CK9">
        <v>18</v>
      </c>
      <c r="CL9">
        <v>13</v>
      </c>
      <c r="CM9">
        <v>11</v>
      </c>
      <c r="CN9">
        <v>11</v>
      </c>
      <c r="CO9">
        <v>12</v>
      </c>
      <c r="CP9" s="26">
        <v>13</v>
      </c>
      <c r="CQ9" s="20">
        <v>7</v>
      </c>
      <c r="CR9" s="24">
        <v>27.392857142857142</v>
      </c>
      <c r="CS9" s="24">
        <v>27.571428571428573</v>
      </c>
      <c r="CT9" s="24">
        <v>11.821428571428571</v>
      </c>
      <c r="CU9" s="24">
        <v>505.71428571428572</v>
      </c>
      <c r="CV9" s="24">
        <v>482.14285714285717</v>
      </c>
      <c r="CW9" s="24">
        <v>10.714285714285714</v>
      </c>
      <c r="CX9" s="24">
        <v>94.91443979645075</v>
      </c>
      <c r="CY9" s="25">
        <v>12.857142857142858</v>
      </c>
      <c r="CZ9" s="20">
        <v>7</v>
      </c>
      <c r="DA9" s="24">
        <v>27.392857142857142</v>
      </c>
      <c r="DB9" s="24">
        <v>27.62142857142857</v>
      </c>
      <c r="DC9" s="24">
        <v>12.066666666666666</v>
      </c>
      <c r="DD9" s="24">
        <v>12.464285714285714</v>
      </c>
      <c r="DE9" s="24">
        <v>544.28571428571433</v>
      </c>
      <c r="DF9" s="24">
        <v>437.85714285714283</v>
      </c>
      <c r="DG9" s="24">
        <v>13.714285714285714</v>
      </c>
      <c r="DH9" s="24">
        <v>80.497142857142862</v>
      </c>
      <c r="DI9" s="24">
        <v>68.857142857142861</v>
      </c>
      <c r="DJ9" s="24">
        <v>83.482910253601077</v>
      </c>
      <c r="DK9" s="24">
        <v>85.359141542452079</v>
      </c>
      <c r="DL9" s="25">
        <v>80.791945742356134</v>
      </c>
      <c r="DM9" s="20">
        <v>24</v>
      </c>
      <c r="DN9" s="24">
        <v>24.572916666666668</v>
      </c>
      <c r="DO9" s="24">
        <v>24.788194444444443</v>
      </c>
      <c r="DP9" s="24">
        <v>9.5729166666666661</v>
      </c>
      <c r="DQ9" s="24">
        <v>540</v>
      </c>
      <c r="DR9" s="24">
        <v>522.08333333333337</v>
      </c>
      <c r="DS9" s="24">
        <v>12.916666666666666</v>
      </c>
      <c r="DT9" s="24">
        <v>96.639038891482855</v>
      </c>
      <c r="DU9" s="25">
        <v>5</v>
      </c>
      <c r="DV9" s="20">
        <v>24</v>
      </c>
      <c r="DW9" s="24">
        <v>24.510416666666668</v>
      </c>
      <c r="DX9" s="24">
        <v>24.842361111111106</v>
      </c>
      <c r="DY9" s="24">
        <v>9.2423611111111104</v>
      </c>
      <c r="DZ9" s="24">
        <v>9.5722222222222211</v>
      </c>
      <c r="EA9" s="24">
        <v>543.70833333333337</v>
      </c>
      <c r="EB9" s="24">
        <v>428.29166666666669</v>
      </c>
      <c r="EC9" s="24">
        <v>428.29166666666669</v>
      </c>
      <c r="ED9" s="24">
        <v>78.887500000000003</v>
      </c>
      <c r="EE9" s="24">
        <v>75.708333333333329</v>
      </c>
      <c r="EF9" s="24">
        <v>81.168122848360682</v>
      </c>
      <c r="EG9" s="24">
        <v>84.635217278275647</v>
      </c>
      <c r="EH9" s="25">
        <v>81.379464811487807</v>
      </c>
      <c r="EI9" s="20">
        <v>21</v>
      </c>
      <c r="EJ9" s="24">
        <v>24.285714285714285</v>
      </c>
      <c r="EK9" s="24">
        <v>24.49603174603175</v>
      </c>
      <c r="EL9" s="24">
        <v>9.5595238095238102</v>
      </c>
      <c r="EM9" s="24">
        <v>556.42857142857144</v>
      </c>
      <c r="EN9" s="24">
        <v>538.09523809523807</v>
      </c>
      <c r="EO9" s="24">
        <v>12.619047619047619</v>
      </c>
      <c r="EP9" s="24">
        <v>96.654070672391697</v>
      </c>
      <c r="EQ9" s="25">
        <v>5.7142857142857144</v>
      </c>
      <c r="ER9" s="20">
        <v>22</v>
      </c>
      <c r="ES9" s="24">
        <v>24.227272727272727</v>
      </c>
      <c r="ET9" s="24">
        <v>24.585606060606061</v>
      </c>
      <c r="EU9" s="24">
        <v>9.1651515151515142</v>
      </c>
      <c r="EV9" s="24">
        <v>9.4992424242424232</v>
      </c>
      <c r="EW9" s="24">
        <v>556.31818181818187</v>
      </c>
      <c r="EX9" s="24">
        <v>438.45454545454544</v>
      </c>
      <c r="EY9" s="24">
        <v>21.5</v>
      </c>
      <c r="EZ9" s="24">
        <v>78.894090909090906</v>
      </c>
      <c r="FA9" s="24">
        <v>76.318181818181813</v>
      </c>
      <c r="FB9" s="24">
        <v>80.641567900691001</v>
      </c>
      <c r="FC9" s="24">
        <v>85.389761824234583</v>
      </c>
      <c r="FD9" s="24">
        <v>81.538445083606518</v>
      </c>
    </row>
    <row r="10" spans="1:160" x14ac:dyDescent="0.25">
      <c r="A10">
        <v>4027</v>
      </c>
      <c r="B10">
        <v>1</v>
      </c>
      <c r="C10">
        <v>22</v>
      </c>
      <c r="D10" s="1">
        <v>1.8</v>
      </c>
      <c r="E10">
        <v>73</v>
      </c>
      <c r="F10">
        <v>22.53</v>
      </c>
      <c r="G10">
        <v>2</v>
      </c>
      <c r="H10">
        <v>9</v>
      </c>
      <c r="I10">
        <v>36</v>
      </c>
      <c r="J10">
        <v>2</v>
      </c>
      <c r="K10">
        <v>1</v>
      </c>
      <c r="L10">
        <v>3</v>
      </c>
      <c r="M10" s="1">
        <v>24.2</v>
      </c>
      <c r="N10">
        <v>23.77</v>
      </c>
      <c r="O10" s="1">
        <v>23.5</v>
      </c>
      <c r="P10" s="1">
        <v>-0.7</v>
      </c>
      <c r="S10" s="1">
        <v>22.5</v>
      </c>
      <c r="T10">
        <v>0</v>
      </c>
      <c r="U10">
        <v>1</v>
      </c>
      <c r="V10">
        <v>1</v>
      </c>
      <c r="W10">
        <v>4</v>
      </c>
      <c r="X10">
        <v>1</v>
      </c>
      <c r="Y10">
        <v>3</v>
      </c>
      <c r="Z10">
        <v>9</v>
      </c>
      <c r="AA10">
        <v>1</v>
      </c>
      <c r="AB10">
        <v>1</v>
      </c>
      <c r="AC10">
        <v>8</v>
      </c>
      <c r="AD10">
        <v>2</v>
      </c>
      <c r="AE10">
        <v>2</v>
      </c>
      <c r="AF10">
        <v>2</v>
      </c>
      <c r="AG10">
        <v>2</v>
      </c>
      <c r="AH10">
        <v>1</v>
      </c>
      <c r="AI10">
        <v>1</v>
      </c>
      <c r="AJ10">
        <v>0</v>
      </c>
      <c r="AK10">
        <v>1</v>
      </c>
      <c r="AL10">
        <v>9</v>
      </c>
      <c r="AM10">
        <v>2</v>
      </c>
      <c r="AN10">
        <v>3</v>
      </c>
      <c r="AO10">
        <v>3</v>
      </c>
      <c r="AP10">
        <v>2</v>
      </c>
      <c r="AQ10">
        <v>8</v>
      </c>
      <c r="AR10">
        <v>2</v>
      </c>
      <c r="AS10">
        <v>2</v>
      </c>
      <c r="AT10">
        <v>4</v>
      </c>
      <c r="AU10">
        <v>1</v>
      </c>
      <c r="AV10">
        <v>8</v>
      </c>
      <c r="AW10">
        <v>4</v>
      </c>
      <c r="AX10">
        <v>1</v>
      </c>
      <c r="AY10">
        <v>1</v>
      </c>
      <c r="AZ10">
        <v>9</v>
      </c>
      <c r="BA10">
        <v>2</v>
      </c>
      <c r="BB10">
        <v>2</v>
      </c>
      <c r="BC10">
        <v>2</v>
      </c>
      <c r="BD10">
        <v>1</v>
      </c>
      <c r="BE10">
        <v>2</v>
      </c>
      <c r="BF10">
        <v>1</v>
      </c>
      <c r="BG10">
        <v>0</v>
      </c>
      <c r="BH10">
        <v>1</v>
      </c>
      <c r="BI10">
        <v>9</v>
      </c>
      <c r="BJ10">
        <v>2</v>
      </c>
      <c r="BK10">
        <v>3</v>
      </c>
      <c r="BL10">
        <v>4</v>
      </c>
      <c r="BM10">
        <v>2</v>
      </c>
      <c r="BN10">
        <v>9</v>
      </c>
      <c r="BO10">
        <v>1</v>
      </c>
      <c r="BP10">
        <v>5</v>
      </c>
      <c r="BQ10">
        <v>3</v>
      </c>
      <c r="BR10">
        <v>2</v>
      </c>
      <c r="BS10">
        <v>1</v>
      </c>
      <c r="BT10">
        <v>3</v>
      </c>
      <c r="BU10">
        <v>2</v>
      </c>
      <c r="BV10">
        <v>1</v>
      </c>
      <c r="BW10">
        <v>4</v>
      </c>
      <c r="BX10">
        <v>2</v>
      </c>
      <c r="BY10">
        <v>2</v>
      </c>
      <c r="BZ10">
        <v>2</v>
      </c>
      <c r="CA10">
        <v>1</v>
      </c>
      <c r="CB10">
        <v>1</v>
      </c>
      <c r="CC10">
        <v>13</v>
      </c>
      <c r="CD10">
        <v>2</v>
      </c>
      <c r="CE10">
        <v>1</v>
      </c>
      <c r="CF10">
        <v>2</v>
      </c>
      <c r="CG10">
        <v>24</v>
      </c>
      <c r="CH10">
        <v>25</v>
      </c>
      <c r="CI10">
        <v>21</v>
      </c>
      <c r="CJ10">
        <v>21</v>
      </c>
      <c r="CK10">
        <v>23</v>
      </c>
      <c r="CL10">
        <v>12</v>
      </c>
      <c r="CM10">
        <v>20</v>
      </c>
      <c r="CN10">
        <v>14</v>
      </c>
      <c r="CO10">
        <v>12</v>
      </c>
      <c r="CP10" s="26">
        <v>14</v>
      </c>
      <c r="CQ10" s="20">
        <v>7</v>
      </c>
      <c r="CR10" s="24">
        <v>25.202380952380953</v>
      </c>
      <c r="CS10" s="24">
        <v>25.726190476190478</v>
      </c>
      <c r="CT10" s="24">
        <v>10.11904761904762</v>
      </c>
      <c r="CU10" s="24">
        <v>535</v>
      </c>
      <c r="CV10" s="24">
        <v>467.14285714285717</v>
      </c>
      <c r="CW10" s="24">
        <v>31.428571428571427</v>
      </c>
      <c r="CX10" s="24">
        <v>86.971576215782378</v>
      </c>
      <c r="CY10" s="25">
        <v>36.428571428571431</v>
      </c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5"/>
      <c r="DM10" s="20">
        <v>19</v>
      </c>
      <c r="DN10" s="24">
        <v>24.210526315789473</v>
      </c>
      <c r="DO10" s="24">
        <v>24.557017543859651</v>
      </c>
      <c r="DP10" s="24">
        <v>9.5</v>
      </c>
      <c r="DQ10" s="24">
        <v>557.36842105263156</v>
      </c>
      <c r="DR10" s="24">
        <v>508.68421052631578</v>
      </c>
      <c r="DS10" s="24">
        <v>20.789473684210527</v>
      </c>
      <c r="DT10" s="24">
        <v>90.918319070879903</v>
      </c>
      <c r="DU10" s="25">
        <v>27.894736842105264</v>
      </c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5"/>
      <c r="EI10" s="20">
        <v>16</v>
      </c>
      <c r="EJ10" s="24">
        <v>23.968749999999996</v>
      </c>
      <c r="EK10" s="24">
        <v>24.3125</v>
      </c>
      <c r="EL10" s="24">
        <v>9.6354166666666679</v>
      </c>
      <c r="EM10" s="24">
        <v>580</v>
      </c>
      <c r="EN10" s="24">
        <v>530.3125</v>
      </c>
      <c r="EO10" s="24">
        <v>20.625</v>
      </c>
      <c r="EP10" s="24">
        <v>91.091500706877227</v>
      </c>
      <c r="EQ10" s="25">
        <v>29.0625</v>
      </c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</row>
    <row r="11" spans="1:160" x14ac:dyDescent="0.25">
      <c r="A11">
        <v>4028</v>
      </c>
      <c r="B11">
        <v>1</v>
      </c>
      <c r="C11">
        <v>24</v>
      </c>
      <c r="D11" s="1">
        <v>1.83</v>
      </c>
      <c r="E11">
        <v>88</v>
      </c>
      <c r="F11">
        <v>26.28</v>
      </c>
      <c r="G11">
        <v>2</v>
      </c>
      <c r="H11">
        <v>11</v>
      </c>
      <c r="I11">
        <v>21</v>
      </c>
      <c r="J11">
        <v>1</v>
      </c>
      <c r="K11">
        <v>2</v>
      </c>
      <c r="L11">
        <v>3</v>
      </c>
      <c r="M11" s="1">
        <v>23.63</v>
      </c>
      <c r="O11" s="1">
        <v>25</v>
      </c>
      <c r="P11" s="1">
        <v>1.37</v>
      </c>
      <c r="Q11" s="1">
        <v>26.779999999999998</v>
      </c>
      <c r="R11" s="1">
        <v>3.15</v>
      </c>
      <c r="S11" s="1">
        <v>24</v>
      </c>
      <c r="T11">
        <v>0</v>
      </c>
      <c r="U11">
        <v>2</v>
      </c>
      <c r="V11">
        <v>0</v>
      </c>
      <c r="W11">
        <v>11</v>
      </c>
      <c r="X11">
        <v>2</v>
      </c>
      <c r="Y11">
        <v>2</v>
      </c>
      <c r="Z11">
        <v>4</v>
      </c>
      <c r="AA11">
        <v>1</v>
      </c>
      <c r="AB11">
        <v>1</v>
      </c>
      <c r="AC11">
        <v>6</v>
      </c>
      <c r="AD11">
        <v>1</v>
      </c>
      <c r="AE11">
        <v>2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3</v>
      </c>
      <c r="AL11">
        <v>7</v>
      </c>
      <c r="AM11">
        <v>2</v>
      </c>
      <c r="AN11">
        <v>6</v>
      </c>
      <c r="AO11">
        <v>4</v>
      </c>
      <c r="AP11">
        <v>5</v>
      </c>
      <c r="AQ11">
        <v>15</v>
      </c>
      <c r="AR11">
        <v>0</v>
      </c>
      <c r="AS11">
        <v>20</v>
      </c>
      <c r="AT11">
        <v>9</v>
      </c>
      <c r="AU11">
        <v>1</v>
      </c>
      <c r="AV11">
        <v>2</v>
      </c>
      <c r="AW11">
        <v>2</v>
      </c>
      <c r="AX11">
        <v>1</v>
      </c>
      <c r="AY11">
        <v>1</v>
      </c>
      <c r="AZ11">
        <v>6</v>
      </c>
      <c r="BA11">
        <v>1</v>
      </c>
      <c r="BB11">
        <v>1</v>
      </c>
      <c r="BC11">
        <v>1</v>
      </c>
      <c r="BD11">
        <v>0</v>
      </c>
      <c r="BE11">
        <v>2</v>
      </c>
      <c r="BF11">
        <v>2</v>
      </c>
      <c r="BG11">
        <v>0</v>
      </c>
      <c r="BH11">
        <v>1</v>
      </c>
      <c r="BI11">
        <v>7</v>
      </c>
      <c r="BJ11">
        <v>2</v>
      </c>
      <c r="BK11">
        <v>4</v>
      </c>
      <c r="BL11">
        <v>1</v>
      </c>
      <c r="BM11">
        <v>3</v>
      </c>
      <c r="BN11">
        <v>8</v>
      </c>
      <c r="BO11">
        <v>0</v>
      </c>
      <c r="BP11">
        <v>12</v>
      </c>
      <c r="BQ11">
        <v>4</v>
      </c>
      <c r="BR11">
        <v>2</v>
      </c>
      <c r="BS11">
        <v>2</v>
      </c>
      <c r="BT11">
        <v>4</v>
      </c>
      <c r="BU11">
        <v>2</v>
      </c>
      <c r="BV11">
        <v>2</v>
      </c>
      <c r="BW11">
        <v>3</v>
      </c>
      <c r="BX11">
        <v>2</v>
      </c>
      <c r="BY11">
        <v>1</v>
      </c>
      <c r="BZ11">
        <v>2</v>
      </c>
      <c r="CA11">
        <v>2</v>
      </c>
      <c r="CB11">
        <v>1</v>
      </c>
      <c r="CC11">
        <v>9</v>
      </c>
      <c r="CD11">
        <v>3</v>
      </c>
      <c r="CE11">
        <v>1</v>
      </c>
      <c r="CF11">
        <v>2</v>
      </c>
      <c r="CG11">
        <v>17</v>
      </c>
      <c r="CH11">
        <v>15</v>
      </c>
      <c r="CI11">
        <v>17</v>
      </c>
      <c r="CJ11">
        <v>15</v>
      </c>
      <c r="CK11">
        <v>16</v>
      </c>
      <c r="CL11">
        <v>31</v>
      </c>
      <c r="CM11">
        <v>21</v>
      </c>
      <c r="CN11">
        <v>22</v>
      </c>
      <c r="CO11">
        <v>21</v>
      </c>
      <c r="CP11" s="26">
        <v>19</v>
      </c>
      <c r="CQ11" s="20">
        <v>7</v>
      </c>
      <c r="CR11" s="24">
        <v>26.214285714285715</v>
      </c>
      <c r="CS11" s="24">
        <v>26.707142857142856</v>
      </c>
      <c r="CT11" s="24">
        <v>10.047619047619049</v>
      </c>
      <c r="CU11" s="24">
        <v>470</v>
      </c>
      <c r="CV11" s="24">
        <v>439.85714285714283</v>
      </c>
      <c r="CW11" s="24">
        <v>29.571428571428573</v>
      </c>
      <c r="CX11" s="24">
        <v>94.037998532746442</v>
      </c>
      <c r="CY11" s="25">
        <v>0.5714285714285714</v>
      </c>
      <c r="CZ11" s="20">
        <v>7</v>
      </c>
      <c r="DA11" s="24">
        <v>26.783333333333335</v>
      </c>
      <c r="DB11" s="24">
        <v>26.921428571428571</v>
      </c>
      <c r="DC11" s="24">
        <v>9.738095238095239</v>
      </c>
      <c r="DD11" s="24">
        <v>10.047619047619049</v>
      </c>
      <c r="DE11" s="24">
        <v>435.85714285714283</v>
      </c>
      <c r="DF11" s="24">
        <v>371.42857142857144</v>
      </c>
      <c r="DG11" s="24">
        <v>8.2857142857142865</v>
      </c>
      <c r="DH11" s="24">
        <v>85.568571428571431</v>
      </c>
      <c r="DI11" s="24">
        <v>37.571428571428569</v>
      </c>
      <c r="DJ11" s="24">
        <v>89.168113797243038</v>
      </c>
      <c r="DK11" s="24">
        <v>91.78564011811622</v>
      </c>
      <c r="DL11" s="25">
        <v>81.979945099555977</v>
      </c>
      <c r="DM11" s="20">
        <v>15</v>
      </c>
      <c r="DN11" s="24">
        <v>25.705555555555556</v>
      </c>
      <c r="DO11" s="24">
        <v>25.872222222222216</v>
      </c>
      <c r="DP11" s="24">
        <v>10.138888888888888</v>
      </c>
      <c r="DQ11" s="24">
        <v>506</v>
      </c>
      <c r="DR11" s="24">
        <v>493.33333333333331</v>
      </c>
      <c r="DS11" s="24">
        <v>10</v>
      </c>
      <c r="DT11" s="24">
        <v>97.44449770941516</v>
      </c>
      <c r="DU11" s="25">
        <v>2.6666666666666665</v>
      </c>
      <c r="DV11" s="20">
        <v>15</v>
      </c>
      <c r="DW11" s="24">
        <v>25.791666666666664</v>
      </c>
      <c r="DX11" s="24">
        <v>26.476190476190478</v>
      </c>
      <c r="DY11" s="24">
        <v>10.142857142857142</v>
      </c>
      <c r="DZ11" s="24">
        <v>10.327380952380951</v>
      </c>
      <c r="EA11" s="24">
        <v>512.14285714285711</v>
      </c>
      <c r="EB11" s="24">
        <v>415.64285714285717</v>
      </c>
      <c r="EC11" s="24">
        <v>415.64285714285717</v>
      </c>
      <c r="ED11" s="24">
        <v>81.61</v>
      </c>
      <c r="EE11" s="24">
        <v>44.357142857142854</v>
      </c>
      <c r="EF11" s="24">
        <v>81.664438852464073</v>
      </c>
      <c r="EG11" s="24">
        <v>92.02668516799433</v>
      </c>
      <c r="EH11" s="25">
        <v>84.242304501108137</v>
      </c>
      <c r="EI11" s="20">
        <v>13</v>
      </c>
      <c r="EJ11" s="24">
        <v>25.429487179487179</v>
      </c>
      <c r="EK11" s="24">
        <v>25.602564102564102</v>
      </c>
      <c r="EL11" s="24">
        <v>10.006410256410255</v>
      </c>
      <c r="EM11" s="24">
        <v>514.61538461538464</v>
      </c>
      <c r="EN11" s="24">
        <v>502.69230769230768</v>
      </c>
      <c r="EO11" s="24">
        <v>10.384615384615385</v>
      </c>
      <c r="EP11" s="24">
        <v>97.602451528035004</v>
      </c>
      <c r="EQ11" s="25">
        <v>1.5384615384615385</v>
      </c>
      <c r="ER11" s="20">
        <v>12</v>
      </c>
      <c r="ES11" s="24">
        <v>25.465277777777775</v>
      </c>
      <c r="ET11" s="24">
        <v>26.237500000000001</v>
      </c>
      <c r="EU11" s="24">
        <v>10.002777777777778</v>
      </c>
      <c r="EV11" s="24">
        <v>10.215277777777777</v>
      </c>
      <c r="EW11" s="24">
        <v>525</v>
      </c>
      <c r="EX11" s="24">
        <v>421.66666666666669</v>
      </c>
      <c r="EY11" s="24">
        <v>46.333333333333336</v>
      </c>
      <c r="EZ11" s="24">
        <v>80.617499999999993</v>
      </c>
      <c r="FA11" s="24">
        <v>44.25</v>
      </c>
      <c r="FB11" s="24">
        <v>80.030080621992397</v>
      </c>
      <c r="FC11" s="24">
        <v>91.804825506450882</v>
      </c>
      <c r="FD11" s="24">
        <v>84.802296427763423</v>
      </c>
    </row>
    <row r="12" spans="1:160" x14ac:dyDescent="0.25">
      <c r="A12">
        <v>4029</v>
      </c>
      <c r="B12">
        <v>2</v>
      </c>
      <c r="C12">
        <v>39</v>
      </c>
      <c r="D12" s="1">
        <v>1.64</v>
      </c>
      <c r="E12">
        <v>90</v>
      </c>
      <c r="F12">
        <v>33.46</v>
      </c>
      <c r="G12">
        <v>2</v>
      </c>
      <c r="H12">
        <v>13</v>
      </c>
      <c r="I12">
        <v>22</v>
      </c>
      <c r="J12">
        <v>1</v>
      </c>
      <c r="K12">
        <v>1</v>
      </c>
      <c r="L12">
        <v>3</v>
      </c>
      <c r="M12" s="1">
        <v>21.62</v>
      </c>
      <c r="O12" s="1">
        <v>21</v>
      </c>
      <c r="P12" s="1">
        <v>-0.62</v>
      </c>
      <c r="Q12" s="1">
        <v>23.880000000000003</v>
      </c>
      <c r="R12" s="1">
        <v>2.2599999999999998</v>
      </c>
      <c r="S12" s="1">
        <v>20</v>
      </c>
      <c r="T12">
        <v>0</v>
      </c>
      <c r="U12">
        <v>2</v>
      </c>
      <c r="V12">
        <v>1</v>
      </c>
      <c r="W12">
        <v>6</v>
      </c>
      <c r="X12">
        <v>1</v>
      </c>
      <c r="Y12">
        <v>6</v>
      </c>
      <c r="Z12">
        <v>0</v>
      </c>
      <c r="AA12">
        <v>1</v>
      </c>
      <c r="AB12">
        <v>1</v>
      </c>
      <c r="AC12">
        <v>4</v>
      </c>
      <c r="AD12">
        <v>1</v>
      </c>
      <c r="AE12">
        <v>1</v>
      </c>
      <c r="AF12">
        <v>3</v>
      </c>
      <c r="AG12">
        <v>1</v>
      </c>
      <c r="AH12">
        <v>2</v>
      </c>
      <c r="AI12">
        <v>1</v>
      </c>
      <c r="AJ12">
        <v>0</v>
      </c>
      <c r="AK12">
        <v>0</v>
      </c>
      <c r="AL12">
        <v>8</v>
      </c>
      <c r="AM12">
        <v>2</v>
      </c>
      <c r="AN12">
        <v>4</v>
      </c>
      <c r="AO12">
        <v>4</v>
      </c>
      <c r="AP12">
        <v>4</v>
      </c>
      <c r="AQ12">
        <v>12</v>
      </c>
      <c r="AR12">
        <v>0</v>
      </c>
      <c r="AS12">
        <v>2</v>
      </c>
      <c r="AT12">
        <v>4</v>
      </c>
      <c r="AU12">
        <v>1</v>
      </c>
      <c r="AV12">
        <v>3</v>
      </c>
      <c r="AW12">
        <v>1</v>
      </c>
      <c r="AX12">
        <v>1</v>
      </c>
      <c r="AY12">
        <v>1</v>
      </c>
      <c r="AZ12">
        <v>3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4</v>
      </c>
      <c r="BL12">
        <v>1</v>
      </c>
      <c r="BM12">
        <v>1</v>
      </c>
      <c r="BN12">
        <v>6</v>
      </c>
      <c r="BO12">
        <v>0</v>
      </c>
      <c r="BP12">
        <v>0</v>
      </c>
      <c r="BQ12">
        <v>3</v>
      </c>
      <c r="BR12">
        <v>2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4</v>
      </c>
      <c r="CB12">
        <v>1</v>
      </c>
      <c r="CC12">
        <v>1</v>
      </c>
      <c r="CD12">
        <v>7</v>
      </c>
      <c r="CE12">
        <v>2</v>
      </c>
      <c r="CF12">
        <v>2</v>
      </c>
      <c r="CG12">
        <v>23</v>
      </c>
      <c r="CH12">
        <v>21</v>
      </c>
      <c r="CI12">
        <v>15</v>
      </c>
      <c r="CJ12">
        <v>19</v>
      </c>
      <c r="CK12">
        <v>16</v>
      </c>
      <c r="CL12">
        <v>22</v>
      </c>
      <c r="CM12">
        <v>16</v>
      </c>
      <c r="CN12">
        <v>10</v>
      </c>
      <c r="CO12">
        <v>11</v>
      </c>
      <c r="CP12" s="26">
        <v>16</v>
      </c>
      <c r="CQ12" s="20">
        <v>7</v>
      </c>
      <c r="CR12" s="24">
        <v>23.88095238095238</v>
      </c>
      <c r="CS12" s="24">
        <v>24.226190476190478</v>
      </c>
      <c r="CT12" s="24">
        <v>7.5</v>
      </c>
      <c r="CU12" s="24">
        <v>457.14285714285717</v>
      </c>
      <c r="CV12" s="24">
        <v>422.85714285714283</v>
      </c>
      <c r="CW12" s="24">
        <v>20.714285714285715</v>
      </c>
      <c r="CX12" s="24">
        <v>92.494337573361008</v>
      </c>
      <c r="CY12" s="25">
        <v>13.571428571428571</v>
      </c>
      <c r="CZ12" s="20">
        <v>7</v>
      </c>
      <c r="DA12" s="24">
        <v>23.88095238095238</v>
      </c>
      <c r="DB12" s="24">
        <v>24.145238095238092</v>
      </c>
      <c r="DC12" s="24">
        <v>7.4333333333333327</v>
      </c>
      <c r="DD12" s="24">
        <v>7.5</v>
      </c>
      <c r="DE12" s="24">
        <v>457.14285714285717</v>
      </c>
      <c r="DF12" s="24">
        <v>413.57142857142856</v>
      </c>
      <c r="DG12" s="24">
        <v>15.857142857142858</v>
      </c>
      <c r="DH12" s="24">
        <v>90.444285714285712</v>
      </c>
      <c r="DI12" s="24">
        <v>23.714285714285715</v>
      </c>
      <c r="DJ12" s="24">
        <v>89.781512605042039</v>
      </c>
      <c r="DK12" s="24">
        <v>95.470766084211462</v>
      </c>
      <c r="DL12" s="25">
        <v>92.011269306598976</v>
      </c>
      <c r="DM12" s="20">
        <v>23</v>
      </c>
      <c r="DN12" s="24">
        <v>22.704545454545457</v>
      </c>
      <c r="DO12" s="24">
        <v>22.844696969696969</v>
      </c>
      <c r="DP12" s="24">
        <v>7.3250000000000002</v>
      </c>
      <c r="DQ12" s="24">
        <v>517.22727272727275</v>
      </c>
      <c r="DR12" s="24">
        <v>501.09090909090907</v>
      </c>
      <c r="DS12" s="24">
        <v>8.4090909090909083</v>
      </c>
      <c r="DT12" s="24">
        <v>96.843949285885571</v>
      </c>
      <c r="DU12" s="25">
        <v>7.7272727272727275</v>
      </c>
      <c r="DV12" s="20">
        <v>22</v>
      </c>
      <c r="DW12" s="24">
        <v>22.790476190476195</v>
      </c>
      <c r="DX12" s="24">
        <v>22.980952380952381</v>
      </c>
      <c r="DY12" s="24">
        <v>7.1722222222222243</v>
      </c>
      <c r="DZ12" s="24">
        <v>7.3571428571428568</v>
      </c>
      <c r="EA12" s="24">
        <v>514</v>
      </c>
      <c r="EB12" s="24">
        <v>459.09523809523807</v>
      </c>
      <c r="EC12" s="24">
        <v>459.09523809523807</v>
      </c>
      <c r="ED12" s="24">
        <v>89.365714285714304</v>
      </c>
      <c r="EE12" s="24">
        <v>32.38095238095238</v>
      </c>
      <c r="EF12" s="24">
        <v>90.407381472434849</v>
      </c>
      <c r="EG12" s="24">
        <v>95.886212402740668</v>
      </c>
      <c r="EH12" s="25">
        <v>87.895228526562065</v>
      </c>
      <c r="EI12" s="20">
        <v>1</v>
      </c>
      <c r="EJ12" s="24">
        <v>22.166666666666668</v>
      </c>
      <c r="EK12" s="24">
        <v>22.25</v>
      </c>
      <c r="EL12" s="24">
        <v>6.75</v>
      </c>
      <c r="EM12" s="24">
        <v>515</v>
      </c>
      <c r="EN12" s="24">
        <v>500</v>
      </c>
      <c r="EO12" s="24">
        <v>5</v>
      </c>
      <c r="EP12" s="24">
        <v>97.087378640776706</v>
      </c>
      <c r="EQ12" s="25">
        <v>10</v>
      </c>
      <c r="ER12" s="20">
        <v>1</v>
      </c>
      <c r="ES12" s="24">
        <v>22.166666666666668</v>
      </c>
      <c r="ET12" s="24">
        <v>22.633333333333333</v>
      </c>
      <c r="EU12" s="24">
        <v>6.7333333333333334</v>
      </c>
      <c r="EV12" s="24">
        <v>6.75</v>
      </c>
      <c r="EW12" s="24">
        <v>515</v>
      </c>
      <c r="EX12" s="24">
        <v>456</v>
      </c>
      <c r="EY12" s="24">
        <v>28</v>
      </c>
      <c r="EZ12" s="24">
        <v>88.54</v>
      </c>
      <c r="FA12" s="24">
        <v>30</v>
      </c>
      <c r="FB12" s="24">
        <v>87.134502923976612</v>
      </c>
      <c r="FC12" s="24">
        <v>95.906432748538009</v>
      </c>
      <c r="FD12" s="24">
        <v>92.441860465116278</v>
      </c>
    </row>
    <row r="13" spans="1:160" x14ac:dyDescent="0.25">
      <c r="A13">
        <v>4033</v>
      </c>
      <c r="B13">
        <v>1</v>
      </c>
      <c r="C13">
        <v>22</v>
      </c>
      <c r="D13" s="1">
        <v>1.92</v>
      </c>
      <c r="E13">
        <v>83</v>
      </c>
      <c r="F13">
        <v>22.52</v>
      </c>
      <c r="G13">
        <v>2</v>
      </c>
      <c r="H13">
        <v>11</v>
      </c>
      <c r="I13">
        <v>34</v>
      </c>
      <c r="J13">
        <v>2</v>
      </c>
      <c r="K13">
        <v>1</v>
      </c>
      <c r="L13">
        <v>3</v>
      </c>
      <c r="M13" s="1">
        <v>21.63</v>
      </c>
      <c r="O13" s="1">
        <v>22</v>
      </c>
      <c r="P13" s="1">
        <v>0.37</v>
      </c>
      <c r="Q13" s="1">
        <v>25.08</v>
      </c>
      <c r="R13" s="1">
        <v>3.45</v>
      </c>
      <c r="S13" s="1">
        <v>21</v>
      </c>
      <c r="T13">
        <v>0</v>
      </c>
      <c r="U13">
        <v>2</v>
      </c>
      <c r="V13">
        <v>0</v>
      </c>
      <c r="W13">
        <v>4</v>
      </c>
      <c r="X13">
        <v>1</v>
      </c>
      <c r="Y13">
        <v>12</v>
      </c>
      <c r="Z13">
        <v>15</v>
      </c>
      <c r="AA13">
        <v>2</v>
      </c>
      <c r="AB13">
        <v>1</v>
      </c>
      <c r="AC13">
        <v>12</v>
      </c>
      <c r="AD13">
        <v>2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2</v>
      </c>
      <c r="AL13">
        <v>7</v>
      </c>
      <c r="AM13">
        <v>2</v>
      </c>
      <c r="AN13">
        <v>7</v>
      </c>
      <c r="AO13">
        <v>4</v>
      </c>
      <c r="AP13">
        <v>3</v>
      </c>
      <c r="AQ13">
        <v>14</v>
      </c>
      <c r="AR13">
        <v>0</v>
      </c>
      <c r="AS13">
        <v>15</v>
      </c>
      <c r="AT13">
        <v>3</v>
      </c>
      <c r="AU13">
        <v>1</v>
      </c>
      <c r="AV13">
        <v>8</v>
      </c>
      <c r="AW13">
        <v>12</v>
      </c>
      <c r="AX13">
        <v>1</v>
      </c>
      <c r="AY13">
        <v>1</v>
      </c>
      <c r="AZ13">
        <v>11</v>
      </c>
      <c r="BA13">
        <v>2</v>
      </c>
      <c r="BB13">
        <v>1</v>
      </c>
      <c r="BC13">
        <v>3</v>
      </c>
      <c r="BD13">
        <v>0</v>
      </c>
      <c r="BE13">
        <v>0</v>
      </c>
      <c r="BF13">
        <v>1</v>
      </c>
      <c r="BG13">
        <v>0</v>
      </c>
      <c r="BH13">
        <v>3</v>
      </c>
      <c r="BI13">
        <v>8</v>
      </c>
      <c r="BJ13">
        <v>2</v>
      </c>
      <c r="BK13">
        <v>8</v>
      </c>
      <c r="BL13">
        <v>5</v>
      </c>
      <c r="BM13">
        <v>3</v>
      </c>
      <c r="BN13">
        <v>16</v>
      </c>
      <c r="BO13">
        <v>10</v>
      </c>
      <c r="BP13">
        <v>10</v>
      </c>
      <c r="BQ13">
        <v>3</v>
      </c>
      <c r="BR13">
        <v>2</v>
      </c>
      <c r="BS13">
        <v>1</v>
      </c>
      <c r="BT13">
        <v>2</v>
      </c>
      <c r="BU13">
        <v>1</v>
      </c>
      <c r="BV13">
        <v>1</v>
      </c>
      <c r="BW13">
        <v>2</v>
      </c>
      <c r="BX13">
        <v>1</v>
      </c>
      <c r="BY13">
        <v>1</v>
      </c>
      <c r="BZ13">
        <v>1</v>
      </c>
      <c r="CA13">
        <v>3</v>
      </c>
      <c r="CB13">
        <v>2</v>
      </c>
      <c r="CC13">
        <v>6</v>
      </c>
      <c r="CD13">
        <v>3</v>
      </c>
      <c r="CE13">
        <v>1</v>
      </c>
      <c r="CF13">
        <v>2</v>
      </c>
      <c r="CG13">
        <v>28</v>
      </c>
      <c r="CH13">
        <v>36</v>
      </c>
      <c r="CI13">
        <v>30</v>
      </c>
      <c r="CJ13">
        <v>24</v>
      </c>
      <c r="CK13">
        <v>24</v>
      </c>
      <c r="CL13">
        <v>35</v>
      </c>
      <c r="CM13">
        <v>30</v>
      </c>
      <c r="CN13">
        <v>30</v>
      </c>
      <c r="CO13">
        <v>25</v>
      </c>
      <c r="CP13" s="26">
        <v>25</v>
      </c>
      <c r="CQ13" s="20">
        <v>7</v>
      </c>
      <c r="CR13" s="24">
        <v>25.128571428571433</v>
      </c>
      <c r="CS13" s="24">
        <v>25.578571428571426</v>
      </c>
      <c r="CT13" s="24">
        <v>9.2214285714285715</v>
      </c>
      <c r="CU13" s="24">
        <v>485.57142857142856</v>
      </c>
      <c r="CV13" s="24">
        <v>458</v>
      </c>
      <c r="CW13" s="24">
        <v>27</v>
      </c>
      <c r="CX13" s="24">
        <v>94.328696338216915</v>
      </c>
      <c r="CY13" s="25">
        <v>0.5714285714285714</v>
      </c>
      <c r="CZ13" s="20">
        <v>7</v>
      </c>
      <c r="DA13" s="24">
        <v>25.080952380952386</v>
      </c>
      <c r="DB13" s="24">
        <v>25.49523809523809</v>
      </c>
      <c r="DC13" s="24">
        <v>8.7452380952380953</v>
      </c>
      <c r="DD13" s="24">
        <v>8.9357142857142851</v>
      </c>
      <c r="DE13" s="24">
        <v>471.28571428571428</v>
      </c>
      <c r="DF13" s="24">
        <v>407.14285714285717</v>
      </c>
      <c r="DG13" s="24">
        <v>24.857142857142858</v>
      </c>
      <c r="DH13" s="24">
        <v>86.36999999999999</v>
      </c>
      <c r="DI13" s="24">
        <v>27.857142857142858</v>
      </c>
      <c r="DJ13" s="24">
        <v>86.272468102607036</v>
      </c>
      <c r="DK13" s="24">
        <v>94.570929977389866</v>
      </c>
      <c r="DL13" s="25">
        <v>89.522514479880144</v>
      </c>
      <c r="DM13" s="20">
        <v>11</v>
      </c>
      <c r="DN13" s="24">
        <v>22.636363636363637</v>
      </c>
      <c r="DO13" s="24">
        <v>23.348484848484848</v>
      </c>
      <c r="DP13" s="24">
        <v>8.3409090909090917</v>
      </c>
      <c r="DQ13" s="24">
        <v>582.27272727272725</v>
      </c>
      <c r="DR13" s="24">
        <v>522.72727272727275</v>
      </c>
      <c r="DS13" s="24">
        <v>42.727272727272727</v>
      </c>
      <c r="DT13" s="24">
        <v>89.643038181859481</v>
      </c>
      <c r="DU13" s="25">
        <v>16.818181818181817</v>
      </c>
      <c r="DV13" s="20">
        <v>11</v>
      </c>
      <c r="DW13" s="24">
        <v>22.727272727272727</v>
      </c>
      <c r="DX13" s="24">
        <v>23.307575757575759</v>
      </c>
      <c r="DY13" s="24">
        <v>8.1757575757575758</v>
      </c>
      <c r="DZ13" s="24">
        <v>8.3409090909090917</v>
      </c>
      <c r="EA13" s="24">
        <v>576.81818181818187</v>
      </c>
      <c r="EB13" s="24">
        <v>491</v>
      </c>
      <c r="EC13" s="24">
        <v>491</v>
      </c>
      <c r="ED13" s="24">
        <v>85.089090909090899</v>
      </c>
      <c r="EE13" s="24">
        <v>41.090909090909093</v>
      </c>
      <c r="EF13" s="24">
        <v>81.908281252052049</v>
      </c>
      <c r="EG13" s="24">
        <v>92.384777058915972</v>
      </c>
      <c r="EH13" s="25">
        <v>90.117924943504164</v>
      </c>
      <c r="EI13" s="20">
        <v>9</v>
      </c>
      <c r="EJ13" s="24">
        <v>22.472222222222221</v>
      </c>
      <c r="EK13" s="24">
        <v>23.194444444444443</v>
      </c>
      <c r="EL13" s="24">
        <v>8.379629629629628</v>
      </c>
      <c r="EM13" s="24">
        <v>594.44444444444446</v>
      </c>
      <c r="EN13" s="24">
        <v>537.22222222222217</v>
      </c>
      <c r="EO13" s="24">
        <v>43.333333333333336</v>
      </c>
      <c r="EP13" s="24">
        <v>90.30046086258416</v>
      </c>
      <c r="EQ13" s="25">
        <v>13.888888888888889</v>
      </c>
      <c r="ER13" s="20">
        <v>8</v>
      </c>
      <c r="ES13" s="24">
        <v>22.552083333333332</v>
      </c>
      <c r="ET13" s="24">
        <v>23.168749999999999</v>
      </c>
      <c r="EU13" s="24">
        <v>8.3270833333333343</v>
      </c>
      <c r="EV13" s="24">
        <v>8.4895833333333321</v>
      </c>
      <c r="EW13" s="24">
        <v>596.25</v>
      </c>
      <c r="EX13" s="24">
        <v>507.625</v>
      </c>
      <c r="EY13" s="24">
        <v>37</v>
      </c>
      <c r="EZ13" s="24">
        <v>85.08874999999999</v>
      </c>
      <c r="FA13" s="24">
        <v>41.875</v>
      </c>
      <c r="FB13" s="24">
        <v>80.847816512878524</v>
      </c>
      <c r="FC13" s="24">
        <v>92.607565284325659</v>
      </c>
      <c r="FD13" s="24">
        <v>90.618048386475223</v>
      </c>
    </row>
    <row r="14" spans="1:160" x14ac:dyDescent="0.25">
      <c r="A14">
        <v>4035</v>
      </c>
      <c r="B14">
        <v>1</v>
      </c>
      <c r="C14">
        <v>21</v>
      </c>
      <c r="D14" s="1">
        <v>1.79</v>
      </c>
      <c r="E14">
        <v>56</v>
      </c>
      <c r="F14">
        <v>17.48</v>
      </c>
      <c r="G14">
        <v>1</v>
      </c>
      <c r="H14">
        <v>17</v>
      </c>
      <c r="I14">
        <v>16</v>
      </c>
      <c r="J14">
        <v>1</v>
      </c>
      <c r="K14">
        <v>2</v>
      </c>
      <c r="L14">
        <v>3</v>
      </c>
      <c r="M14" s="1">
        <v>24.2</v>
      </c>
      <c r="O14" s="1">
        <v>23</v>
      </c>
      <c r="P14" s="1">
        <v>-1.2</v>
      </c>
      <c r="Q14" s="1">
        <v>26.169999999999998</v>
      </c>
      <c r="R14" s="1">
        <v>1.97</v>
      </c>
      <c r="S14" s="1">
        <v>22</v>
      </c>
      <c r="T14">
        <v>0</v>
      </c>
      <c r="U14">
        <v>0</v>
      </c>
      <c r="V14">
        <v>0</v>
      </c>
      <c r="W14">
        <v>0</v>
      </c>
      <c r="X14">
        <v>1</v>
      </c>
      <c r="Y14">
        <v>6</v>
      </c>
      <c r="Z14">
        <v>2</v>
      </c>
      <c r="AA14">
        <v>1</v>
      </c>
      <c r="AB14">
        <v>1</v>
      </c>
      <c r="AC14">
        <v>15</v>
      </c>
      <c r="AD14">
        <v>3</v>
      </c>
      <c r="AE14">
        <v>1</v>
      </c>
      <c r="AF14">
        <v>3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5</v>
      </c>
      <c r="AM14">
        <v>1</v>
      </c>
      <c r="AN14">
        <v>9</v>
      </c>
      <c r="AO14">
        <v>3</v>
      </c>
      <c r="AP14">
        <v>5</v>
      </c>
      <c r="AQ14">
        <v>17</v>
      </c>
      <c r="AR14">
        <v>12</v>
      </c>
      <c r="AS14">
        <v>20</v>
      </c>
      <c r="AT14">
        <v>1</v>
      </c>
      <c r="AU14">
        <v>1</v>
      </c>
      <c r="AV14">
        <v>5</v>
      </c>
      <c r="AW14">
        <v>1</v>
      </c>
      <c r="AX14">
        <v>1</v>
      </c>
      <c r="AY14">
        <v>1</v>
      </c>
      <c r="AZ14">
        <v>8</v>
      </c>
      <c r="BA14">
        <v>2</v>
      </c>
      <c r="BB14">
        <v>1</v>
      </c>
      <c r="BC14">
        <v>2</v>
      </c>
      <c r="BD14">
        <v>0</v>
      </c>
      <c r="BE14">
        <v>0</v>
      </c>
      <c r="BF14">
        <v>1</v>
      </c>
      <c r="BG14">
        <v>0</v>
      </c>
      <c r="BH14">
        <v>1</v>
      </c>
      <c r="BI14">
        <v>5</v>
      </c>
      <c r="BJ14">
        <v>1</v>
      </c>
      <c r="BK14">
        <v>4</v>
      </c>
      <c r="BL14">
        <v>2</v>
      </c>
      <c r="BM14">
        <v>6</v>
      </c>
      <c r="BN14">
        <v>12</v>
      </c>
      <c r="BO14">
        <v>0</v>
      </c>
      <c r="BP14">
        <v>5</v>
      </c>
      <c r="BQ14">
        <v>5</v>
      </c>
      <c r="BR14">
        <v>2</v>
      </c>
      <c r="BS14">
        <v>2</v>
      </c>
      <c r="BT14">
        <v>3</v>
      </c>
      <c r="BU14">
        <v>2</v>
      </c>
      <c r="BV14">
        <v>1</v>
      </c>
      <c r="BW14">
        <v>2</v>
      </c>
      <c r="BX14">
        <v>1</v>
      </c>
      <c r="BY14">
        <v>1</v>
      </c>
      <c r="BZ14">
        <v>1</v>
      </c>
      <c r="CA14">
        <v>3</v>
      </c>
      <c r="CB14">
        <v>1</v>
      </c>
      <c r="CC14">
        <v>5</v>
      </c>
      <c r="CD14">
        <v>6</v>
      </c>
      <c r="CE14">
        <v>2</v>
      </c>
      <c r="CF14">
        <v>1</v>
      </c>
      <c r="CG14">
        <v>19</v>
      </c>
      <c r="CH14">
        <v>18</v>
      </c>
      <c r="CI14">
        <v>21</v>
      </c>
      <c r="CJ14">
        <v>20</v>
      </c>
      <c r="CK14">
        <v>20</v>
      </c>
      <c r="CL14">
        <v>22</v>
      </c>
      <c r="CM14">
        <v>17</v>
      </c>
      <c r="CN14">
        <v>14</v>
      </c>
      <c r="CO14">
        <v>15</v>
      </c>
      <c r="CP14" s="26">
        <v>17</v>
      </c>
      <c r="CQ14" s="20">
        <v>7</v>
      </c>
      <c r="CR14" s="24">
        <v>26.392857142857142</v>
      </c>
      <c r="CS14" s="24">
        <v>27.023809523809522</v>
      </c>
      <c r="CT14" s="24">
        <v>11.380952380952381</v>
      </c>
      <c r="CU14" s="24">
        <v>539.28571428571433</v>
      </c>
      <c r="CV14" s="24">
        <v>471.42857142857144</v>
      </c>
      <c r="CW14" s="24">
        <v>37.857142857142854</v>
      </c>
      <c r="CX14" s="24">
        <v>85.535358792346372</v>
      </c>
      <c r="CY14" s="25">
        <v>30</v>
      </c>
      <c r="CZ14" s="20">
        <v>7</v>
      </c>
      <c r="DA14" s="24">
        <v>26.166666666666664</v>
      </c>
      <c r="DB14" s="24">
        <v>26.847619047619045</v>
      </c>
      <c r="DC14" s="24">
        <v>11.185714285714285</v>
      </c>
      <c r="DD14" s="24">
        <v>11.380952380952381</v>
      </c>
      <c r="DE14" s="24">
        <v>552.85714285714289</v>
      </c>
      <c r="DF14" s="24">
        <v>448</v>
      </c>
      <c r="DG14" s="24">
        <v>40.857142857142854</v>
      </c>
      <c r="DH14" s="24">
        <v>80.39</v>
      </c>
      <c r="DI14" s="24">
        <v>52.285714285714285</v>
      </c>
      <c r="DJ14" s="24">
        <v>75.91617207206626</v>
      </c>
      <c r="DK14" s="24">
        <v>89.716337385467313</v>
      </c>
      <c r="DL14" s="25">
        <v>89.002693222212926</v>
      </c>
      <c r="DM14" s="20">
        <v>19</v>
      </c>
      <c r="DN14" s="24">
        <v>24.488888888888891</v>
      </c>
      <c r="DO14" s="24">
        <v>25.493518518518517</v>
      </c>
      <c r="DP14" s="24">
        <v>10.513888888888891</v>
      </c>
      <c r="DQ14" s="24">
        <v>601.5</v>
      </c>
      <c r="DR14" s="24">
        <v>537.88888888888891</v>
      </c>
      <c r="DS14" s="24">
        <v>60.277777777777779</v>
      </c>
      <c r="DT14" s="24">
        <v>89.480904819280283</v>
      </c>
      <c r="DU14" s="25">
        <v>3.3333333333333335</v>
      </c>
      <c r="DV14" s="20">
        <v>19</v>
      </c>
      <c r="DW14" s="24">
        <v>23.549999999999997</v>
      </c>
      <c r="DX14" s="24">
        <v>25.028333333333336</v>
      </c>
      <c r="DY14" s="24">
        <v>9.7216666666666676</v>
      </c>
      <c r="DZ14" s="24">
        <v>10.050000000000001</v>
      </c>
      <c r="EA14" s="24">
        <v>630</v>
      </c>
      <c r="EB14" s="24">
        <v>452.3</v>
      </c>
      <c r="EC14" s="24">
        <v>452.3</v>
      </c>
      <c r="ED14" s="24">
        <v>72.096999999999994</v>
      </c>
      <c r="EE14" s="24">
        <v>69.3</v>
      </c>
      <c r="EF14" s="24">
        <v>65.486186845159821</v>
      </c>
      <c r="EG14" s="24">
        <v>85.731873142197003</v>
      </c>
      <c r="EH14" s="25">
        <v>87.2208734415604</v>
      </c>
      <c r="EI14" s="20">
        <v>11</v>
      </c>
      <c r="EJ14" s="24">
        <v>23.360606060606059</v>
      </c>
      <c r="EK14" s="24">
        <v>24.512121212121212</v>
      </c>
      <c r="EL14" s="24">
        <v>10.295454545454545</v>
      </c>
      <c r="EM14" s="24">
        <v>656.09090909090912</v>
      </c>
      <c r="EN14" s="24">
        <v>583.36363636363637</v>
      </c>
      <c r="EO14" s="24">
        <v>69.090909090909093</v>
      </c>
      <c r="EP14" s="24">
        <v>88.880325725863557</v>
      </c>
      <c r="EQ14" s="25">
        <v>3.6363636363636362</v>
      </c>
      <c r="ER14" s="20">
        <v>9</v>
      </c>
      <c r="ES14" s="24">
        <v>23.294444444444441</v>
      </c>
      <c r="ET14" s="24">
        <v>24.920370370370375</v>
      </c>
      <c r="EU14" s="24">
        <v>9.6222222222222236</v>
      </c>
      <c r="EV14" s="24">
        <v>9.8888888888888893</v>
      </c>
      <c r="EW14" s="24">
        <v>635.66666666666663</v>
      </c>
      <c r="EX14" s="24">
        <v>450.33333333333331</v>
      </c>
      <c r="EY14" s="24">
        <v>97.555555555555557</v>
      </c>
      <c r="EZ14" s="24">
        <v>71.088888888888889</v>
      </c>
      <c r="FA14" s="24">
        <v>71.777777777777771</v>
      </c>
      <c r="FB14" s="24">
        <v>63.090581814138432</v>
      </c>
      <c r="FC14" s="24">
        <v>85.297936191387578</v>
      </c>
      <c r="FD14" s="24">
        <v>87.585656731267449</v>
      </c>
    </row>
    <row r="15" spans="1:160" x14ac:dyDescent="0.25">
      <c r="A15">
        <v>4036</v>
      </c>
      <c r="B15">
        <v>1</v>
      </c>
      <c r="C15">
        <v>27</v>
      </c>
      <c r="D15" s="1">
        <v>1.7</v>
      </c>
      <c r="E15">
        <v>80</v>
      </c>
      <c r="F15">
        <v>27.68</v>
      </c>
      <c r="G15">
        <v>2</v>
      </c>
      <c r="H15">
        <v>16</v>
      </c>
      <c r="I15">
        <v>18</v>
      </c>
      <c r="J15">
        <v>1</v>
      </c>
      <c r="K15">
        <v>2</v>
      </c>
      <c r="L15">
        <v>3</v>
      </c>
      <c r="M15" s="1">
        <v>23.38</v>
      </c>
      <c r="O15" s="1">
        <v>22.5</v>
      </c>
      <c r="P15" s="1">
        <v>-0.88</v>
      </c>
      <c r="Q15" s="1">
        <v>26.349999999999998</v>
      </c>
      <c r="R15" s="1">
        <v>2.97</v>
      </c>
      <c r="S15" s="1">
        <v>21.5</v>
      </c>
      <c r="T15">
        <v>0</v>
      </c>
      <c r="U15">
        <v>2</v>
      </c>
      <c r="V15">
        <v>0</v>
      </c>
      <c r="W15">
        <v>6</v>
      </c>
      <c r="X15">
        <v>1</v>
      </c>
      <c r="Y15">
        <v>10</v>
      </c>
      <c r="Z15">
        <v>4</v>
      </c>
      <c r="AA15">
        <v>1</v>
      </c>
      <c r="AB15">
        <v>1</v>
      </c>
      <c r="AC15">
        <v>15</v>
      </c>
      <c r="AD15">
        <v>3</v>
      </c>
      <c r="AE15">
        <v>2</v>
      </c>
      <c r="AF15">
        <v>3</v>
      </c>
      <c r="AG15">
        <v>2</v>
      </c>
      <c r="AH15">
        <v>0</v>
      </c>
      <c r="AI15">
        <v>1</v>
      </c>
      <c r="AJ15">
        <v>0</v>
      </c>
      <c r="AK15">
        <v>1</v>
      </c>
      <c r="AL15">
        <v>9</v>
      </c>
      <c r="AM15">
        <v>2</v>
      </c>
      <c r="AN15">
        <v>7</v>
      </c>
      <c r="AO15">
        <v>3</v>
      </c>
      <c r="AP15">
        <v>5</v>
      </c>
      <c r="AQ15">
        <v>15</v>
      </c>
      <c r="AR15">
        <v>2</v>
      </c>
      <c r="AS15">
        <v>14</v>
      </c>
      <c r="AT15">
        <v>5</v>
      </c>
      <c r="AU15">
        <v>1</v>
      </c>
      <c r="AV15">
        <v>3</v>
      </c>
      <c r="AW15">
        <v>3</v>
      </c>
      <c r="AX15">
        <v>1</v>
      </c>
      <c r="AY15">
        <v>1</v>
      </c>
      <c r="AZ15">
        <v>9</v>
      </c>
      <c r="BA15">
        <v>2</v>
      </c>
      <c r="BB15">
        <v>1</v>
      </c>
      <c r="BC15">
        <v>3</v>
      </c>
      <c r="BD15">
        <v>0</v>
      </c>
      <c r="BE15">
        <v>1</v>
      </c>
      <c r="BF15">
        <v>1</v>
      </c>
      <c r="BG15">
        <v>0</v>
      </c>
      <c r="BH15">
        <v>0</v>
      </c>
      <c r="BI15">
        <v>6</v>
      </c>
      <c r="BJ15">
        <v>2</v>
      </c>
      <c r="BK15">
        <v>3</v>
      </c>
      <c r="BL15">
        <v>1</v>
      </c>
      <c r="BM15">
        <v>1</v>
      </c>
      <c r="BN15">
        <v>5</v>
      </c>
      <c r="BO15">
        <v>1</v>
      </c>
      <c r="BP15">
        <v>7</v>
      </c>
      <c r="BQ15">
        <v>4</v>
      </c>
      <c r="BR15">
        <v>2</v>
      </c>
      <c r="BS15">
        <v>2</v>
      </c>
      <c r="BT15">
        <v>3</v>
      </c>
      <c r="BU15">
        <v>2</v>
      </c>
      <c r="BV15">
        <v>1</v>
      </c>
      <c r="BW15">
        <v>3</v>
      </c>
      <c r="BX15">
        <v>2</v>
      </c>
      <c r="BY15">
        <v>1</v>
      </c>
      <c r="BZ15">
        <v>2</v>
      </c>
      <c r="CA15">
        <v>2</v>
      </c>
      <c r="CB15">
        <v>1</v>
      </c>
      <c r="CC15">
        <v>9</v>
      </c>
      <c r="CD15">
        <v>3</v>
      </c>
      <c r="CE15">
        <v>1</v>
      </c>
      <c r="CF15">
        <v>2</v>
      </c>
      <c r="CG15">
        <v>30</v>
      </c>
      <c r="CH15">
        <v>22</v>
      </c>
      <c r="CI15">
        <v>25</v>
      </c>
      <c r="CJ15">
        <v>32</v>
      </c>
      <c r="CK15">
        <v>22</v>
      </c>
      <c r="CL15">
        <v>24</v>
      </c>
      <c r="CM15">
        <v>19</v>
      </c>
      <c r="CN15">
        <v>20</v>
      </c>
      <c r="CO15">
        <v>15</v>
      </c>
      <c r="CP15" s="26">
        <v>15</v>
      </c>
      <c r="CQ15" s="20">
        <v>7</v>
      </c>
      <c r="CR15" s="24">
        <v>25.12142857142857</v>
      </c>
      <c r="CS15" s="24">
        <v>26.490476190476191</v>
      </c>
      <c r="CT15" s="24">
        <v>9.8333333333333339</v>
      </c>
      <c r="CU15" s="24">
        <v>522.71428571428567</v>
      </c>
      <c r="CV15" s="24">
        <v>414.14285714285717</v>
      </c>
      <c r="CW15" s="24">
        <v>82.142857142857139</v>
      </c>
      <c r="CX15" s="24">
        <v>80.109164559528622</v>
      </c>
      <c r="CY15" s="25">
        <v>26.428571428571427</v>
      </c>
      <c r="CZ15" s="20">
        <v>5</v>
      </c>
      <c r="DA15" s="24">
        <v>26.346666666666664</v>
      </c>
      <c r="DB15" s="24">
        <v>26.46</v>
      </c>
      <c r="DC15" s="24">
        <v>10.366666666666667</v>
      </c>
      <c r="DD15" s="24">
        <v>10.680000000000001</v>
      </c>
      <c r="DE15" s="24">
        <v>500</v>
      </c>
      <c r="DF15" s="24">
        <v>421.2</v>
      </c>
      <c r="DG15" s="24">
        <v>6.8</v>
      </c>
      <c r="DH15" s="24">
        <v>84.313999999999993</v>
      </c>
      <c r="DI15" s="24">
        <v>52.6</v>
      </c>
      <c r="DJ15" s="24">
        <v>92.260348271392445</v>
      </c>
      <c r="DK15" s="24">
        <v>87.855399375278893</v>
      </c>
      <c r="DL15" s="25">
        <v>82.090830365127772</v>
      </c>
      <c r="DM15" s="20">
        <v>25</v>
      </c>
      <c r="DN15" s="24">
        <v>23.196666666666669</v>
      </c>
      <c r="DO15" s="24">
        <v>24.75</v>
      </c>
      <c r="DP15" s="24">
        <v>8.6066666666666656</v>
      </c>
      <c r="DQ15" s="24">
        <v>564.6</v>
      </c>
      <c r="DR15" s="24">
        <v>460.6</v>
      </c>
      <c r="DS15" s="24">
        <v>93.2</v>
      </c>
      <c r="DT15" s="24">
        <v>81.451915845451637</v>
      </c>
      <c r="DU15" s="25">
        <v>10.8</v>
      </c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5"/>
      <c r="EI15" s="20">
        <v>18</v>
      </c>
      <c r="EJ15" s="24">
        <v>22.50462962962963</v>
      </c>
      <c r="EK15" s="24">
        <v>24.36574074074074</v>
      </c>
      <c r="EL15" s="24">
        <v>8.1620370370370363</v>
      </c>
      <c r="EM15" s="24">
        <v>579.44444444444446</v>
      </c>
      <c r="EN15" s="24">
        <v>454.44444444444446</v>
      </c>
      <c r="EO15" s="24">
        <v>111.66666666666667</v>
      </c>
      <c r="EP15" s="24">
        <v>77.95286839473016</v>
      </c>
      <c r="EQ15" s="25">
        <v>13.333333333333334</v>
      </c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</row>
    <row r="16" spans="1:160" x14ac:dyDescent="0.25">
      <c r="A16">
        <v>4037</v>
      </c>
      <c r="B16">
        <v>2</v>
      </c>
      <c r="C16">
        <v>22</v>
      </c>
      <c r="D16" s="1">
        <v>1.72</v>
      </c>
      <c r="E16">
        <v>80</v>
      </c>
      <c r="F16">
        <v>27.04</v>
      </c>
      <c r="G16">
        <v>1</v>
      </c>
      <c r="H16">
        <v>10</v>
      </c>
      <c r="I16">
        <v>30</v>
      </c>
      <c r="J16">
        <v>2</v>
      </c>
      <c r="K16">
        <v>1</v>
      </c>
      <c r="L16">
        <v>3</v>
      </c>
      <c r="M16" s="1">
        <v>23.3</v>
      </c>
      <c r="N16">
        <v>23.58</v>
      </c>
      <c r="O16" s="1">
        <v>23</v>
      </c>
      <c r="P16" s="1">
        <v>-0.3</v>
      </c>
      <c r="Q16" s="1">
        <v>24.3</v>
      </c>
      <c r="R16" s="1">
        <v>1</v>
      </c>
      <c r="S16" s="1">
        <v>22</v>
      </c>
      <c r="T16">
        <v>0</v>
      </c>
      <c r="U16">
        <v>2</v>
      </c>
      <c r="V16">
        <v>0</v>
      </c>
      <c r="W16">
        <v>9</v>
      </c>
      <c r="X16">
        <v>1</v>
      </c>
      <c r="Y16">
        <v>11</v>
      </c>
      <c r="Z16">
        <v>10</v>
      </c>
      <c r="AA16">
        <v>1</v>
      </c>
      <c r="AB16">
        <v>1</v>
      </c>
      <c r="AC16">
        <v>10</v>
      </c>
      <c r="AD16">
        <v>2</v>
      </c>
      <c r="AE16">
        <v>1</v>
      </c>
      <c r="AF16">
        <v>2</v>
      </c>
      <c r="AG16">
        <v>1</v>
      </c>
      <c r="AH16">
        <v>2</v>
      </c>
      <c r="AI16">
        <v>1</v>
      </c>
      <c r="AJ16">
        <v>0</v>
      </c>
      <c r="AK16">
        <v>1</v>
      </c>
      <c r="AL16">
        <v>8</v>
      </c>
      <c r="AM16">
        <v>2</v>
      </c>
      <c r="AN16">
        <v>5</v>
      </c>
      <c r="AO16">
        <v>3</v>
      </c>
      <c r="AP16">
        <v>1</v>
      </c>
      <c r="AQ16">
        <v>9</v>
      </c>
      <c r="AR16">
        <v>0</v>
      </c>
      <c r="AS16">
        <v>10</v>
      </c>
      <c r="AT16">
        <v>5</v>
      </c>
      <c r="AU16">
        <v>1</v>
      </c>
      <c r="AV16">
        <v>3</v>
      </c>
      <c r="AW16">
        <v>2</v>
      </c>
      <c r="AX16">
        <v>1</v>
      </c>
      <c r="AY16">
        <v>1</v>
      </c>
      <c r="AZ16">
        <v>7</v>
      </c>
      <c r="BA16">
        <v>1</v>
      </c>
      <c r="BB16">
        <v>0</v>
      </c>
      <c r="BC16">
        <v>2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4</v>
      </c>
      <c r="BJ16">
        <v>1</v>
      </c>
      <c r="BK16">
        <v>2</v>
      </c>
      <c r="BL16">
        <v>2</v>
      </c>
      <c r="BM16">
        <v>2</v>
      </c>
      <c r="BN16">
        <v>6</v>
      </c>
      <c r="BO16">
        <v>0</v>
      </c>
      <c r="BP16">
        <v>0</v>
      </c>
      <c r="BQ16">
        <v>3</v>
      </c>
      <c r="BR16">
        <v>2</v>
      </c>
      <c r="BS16">
        <v>1</v>
      </c>
      <c r="BT16">
        <v>2</v>
      </c>
      <c r="BU16">
        <v>1</v>
      </c>
      <c r="BV16">
        <v>1</v>
      </c>
      <c r="BW16">
        <v>3</v>
      </c>
      <c r="BX16">
        <v>2</v>
      </c>
      <c r="BY16">
        <v>1</v>
      </c>
      <c r="BZ16">
        <v>2</v>
      </c>
      <c r="CA16">
        <v>3</v>
      </c>
      <c r="CB16">
        <v>1</v>
      </c>
      <c r="CC16">
        <v>5</v>
      </c>
      <c r="CD16">
        <v>5</v>
      </c>
      <c r="CE16">
        <v>2</v>
      </c>
      <c r="CF16">
        <v>1</v>
      </c>
      <c r="CG16">
        <v>21</v>
      </c>
      <c r="CH16">
        <v>17</v>
      </c>
      <c r="CI16">
        <v>16</v>
      </c>
      <c r="CJ16">
        <v>14</v>
      </c>
      <c r="CK16">
        <v>16</v>
      </c>
      <c r="CL16">
        <v>15</v>
      </c>
      <c r="CM16">
        <v>10</v>
      </c>
      <c r="CN16">
        <v>11</v>
      </c>
      <c r="CO16">
        <v>11</v>
      </c>
      <c r="CP16" s="26">
        <v>14</v>
      </c>
      <c r="CQ16" s="20">
        <v>7</v>
      </c>
      <c r="CR16" s="24">
        <v>24.297619047619047</v>
      </c>
      <c r="CS16" s="24">
        <v>24.964285714285715</v>
      </c>
      <c r="CT16" s="24">
        <v>9.4642857142857135</v>
      </c>
      <c r="CU16" s="24">
        <v>550</v>
      </c>
      <c r="CV16" s="24">
        <v>478.57142857142856</v>
      </c>
      <c r="CW16" s="24">
        <v>40</v>
      </c>
      <c r="CX16" s="24">
        <v>87.330238931933721</v>
      </c>
      <c r="CY16" s="25">
        <v>31.428571428571427</v>
      </c>
      <c r="CZ16" s="20">
        <v>7</v>
      </c>
      <c r="DA16" s="24">
        <v>24.297619047619047</v>
      </c>
      <c r="DB16" s="24">
        <v>24.909523809523808</v>
      </c>
      <c r="DC16" s="24">
        <v>9.2952380952380942</v>
      </c>
      <c r="DD16" s="24">
        <v>9.4642857142857135</v>
      </c>
      <c r="DE16" s="24">
        <v>550</v>
      </c>
      <c r="DF16" s="24">
        <v>455.14285714285717</v>
      </c>
      <c r="DG16" s="24">
        <v>36.714285714285715</v>
      </c>
      <c r="DH16" s="24">
        <v>83.027142857142849</v>
      </c>
      <c r="DI16" s="24">
        <v>48</v>
      </c>
      <c r="DJ16" s="24">
        <v>82.209797189625561</v>
      </c>
      <c r="DK16" s="24">
        <v>92.039198045860346</v>
      </c>
      <c r="DL16" s="25">
        <v>85.858667860505292</v>
      </c>
      <c r="DM16" s="20">
        <v>12</v>
      </c>
      <c r="DN16" s="24">
        <v>23.763888888888886</v>
      </c>
      <c r="DO16" s="24">
        <v>24.256944444444446</v>
      </c>
      <c r="DP16" s="24">
        <v>9.5833333333333321</v>
      </c>
      <c r="DQ16" s="24">
        <v>589.16666666666663</v>
      </c>
      <c r="DR16" s="24">
        <v>530.83333333333337</v>
      </c>
      <c r="DS16" s="24">
        <v>29.583333333333332</v>
      </c>
      <c r="DT16" s="24">
        <v>90.0151784494618</v>
      </c>
      <c r="DU16" s="25">
        <v>28.75</v>
      </c>
      <c r="DV16" s="20">
        <v>12</v>
      </c>
      <c r="DW16" s="24">
        <v>23.784722222222218</v>
      </c>
      <c r="DX16" s="24">
        <v>24.429166666666671</v>
      </c>
      <c r="DY16" s="24">
        <v>7.8722222222222227</v>
      </c>
      <c r="DZ16" s="24">
        <v>9.5277777777777768</v>
      </c>
      <c r="EA16" s="24">
        <v>584.58333333333337</v>
      </c>
      <c r="EB16" s="24">
        <v>390.83333333333331</v>
      </c>
      <c r="EC16" s="24">
        <v>390.83333333333331</v>
      </c>
      <c r="ED16" s="24">
        <v>65.80083333333333</v>
      </c>
      <c r="EE16" s="24">
        <v>55.75</v>
      </c>
      <c r="EF16" s="24">
        <v>82.629155592898144</v>
      </c>
      <c r="EG16" s="24">
        <v>88.398262724826793</v>
      </c>
      <c r="EH16" s="25">
        <v>83.171903386148827</v>
      </c>
      <c r="EI16" s="20">
        <v>12</v>
      </c>
      <c r="EJ16" s="24">
        <v>23.763888888888886</v>
      </c>
      <c r="EK16" s="24">
        <v>24.256944444444446</v>
      </c>
      <c r="EL16" s="24">
        <v>9.5833333333333321</v>
      </c>
      <c r="EM16" s="24">
        <v>589.16666666666663</v>
      </c>
      <c r="EN16" s="24">
        <v>530.83333333333337</v>
      </c>
      <c r="EO16" s="24">
        <v>29.583333333333332</v>
      </c>
      <c r="EP16" s="24">
        <v>90.0151784494618</v>
      </c>
      <c r="EQ16" s="25">
        <v>28.75</v>
      </c>
      <c r="ER16" s="20">
        <v>11</v>
      </c>
      <c r="ES16" s="24">
        <v>23.696969696969692</v>
      </c>
      <c r="ET16" s="24">
        <v>24.298484848484851</v>
      </c>
      <c r="EU16" s="24">
        <v>8.3742424242424249</v>
      </c>
      <c r="EV16" s="24">
        <v>9.5303030303030294</v>
      </c>
      <c r="EW16" s="24">
        <v>590</v>
      </c>
      <c r="EX16" s="24">
        <v>423.90909090909093</v>
      </c>
      <c r="EY16" s="24">
        <v>36.090909090909093</v>
      </c>
      <c r="EZ16" s="24">
        <v>71.315454545454543</v>
      </c>
      <c r="FA16" s="24">
        <v>60.636363636363633</v>
      </c>
      <c r="FB16" s="24">
        <v>83.439598309135633</v>
      </c>
      <c r="FC16" s="24">
        <v>88.278624271239607</v>
      </c>
      <c r="FD16" s="24">
        <v>82.888829668006508</v>
      </c>
    </row>
    <row r="17" spans="1:160" x14ac:dyDescent="0.25">
      <c r="A17">
        <v>4038</v>
      </c>
      <c r="B17">
        <v>1</v>
      </c>
      <c r="C17">
        <v>28</v>
      </c>
      <c r="D17" s="1">
        <v>1.76</v>
      </c>
      <c r="E17">
        <v>84</v>
      </c>
      <c r="F17">
        <v>27.12</v>
      </c>
      <c r="G17">
        <v>2</v>
      </c>
      <c r="H17">
        <v>13</v>
      </c>
      <c r="I17">
        <v>26</v>
      </c>
      <c r="J17">
        <v>2</v>
      </c>
      <c r="K17">
        <v>1</v>
      </c>
      <c r="L17">
        <v>3</v>
      </c>
      <c r="M17" s="1">
        <v>22.7</v>
      </c>
      <c r="N17">
        <v>21.98</v>
      </c>
      <c r="O17" s="1">
        <v>22.5</v>
      </c>
      <c r="P17" s="1">
        <v>-0.2</v>
      </c>
      <c r="Q17" s="1">
        <v>24.63</v>
      </c>
      <c r="R17" s="1">
        <v>1.93</v>
      </c>
      <c r="S17" s="1">
        <v>21.5</v>
      </c>
      <c r="T17">
        <v>1</v>
      </c>
      <c r="U17">
        <v>1</v>
      </c>
      <c r="V17">
        <v>0</v>
      </c>
      <c r="W17">
        <v>1</v>
      </c>
      <c r="X17">
        <v>1</v>
      </c>
      <c r="Y17">
        <v>0</v>
      </c>
      <c r="Z17">
        <v>15</v>
      </c>
      <c r="AA17">
        <v>2</v>
      </c>
      <c r="AB17">
        <v>1</v>
      </c>
      <c r="AC17">
        <v>12</v>
      </c>
      <c r="AD17">
        <v>2</v>
      </c>
      <c r="AE17">
        <v>1</v>
      </c>
      <c r="AF17">
        <v>2</v>
      </c>
      <c r="AG17">
        <v>1</v>
      </c>
      <c r="AH17">
        <v>2</v>
      </c>
      <c r="AI17">
        <v>1</v>
      </c>
      <c r="AJ17">
        <v>0</v>
      </c>
      <c r="AK17">
        <v>1</v>
      </c>
      <c r="AL17">
        <v>8</v>
      </c>
      <c r="AM17">
        <v>2</v>
      </c>
      <c r="AN17">
        <v>6</v>
      </c>
      <c r="AO17">
        <v>3</v>
      </c>
      <c r="AP17">
        <v>5</v>
      </c>
      <c r="AQ17">
        <v>14</v>
      </c>
      <c r="AR17">
        <v>2</v>
      </c>
      <c r="AS17">
        <v>10</v>
      </c>
      <c r="AT17">
        <v>2</v>
      </c>
      <c r="AU17">
        <v>1</v>
      </c>
      <c r="AV17">
        <v>0</v>
      </c>
      <c r="AW17">
        <v>3</v>
      </c>
      <c r="AX17">
        <v>1</v>
      </c>
      <c r="AY17">
        <v>1</v>
      </c>
      <c r="AZ17">
        <v>6</v>
      </c>
      <c r="BA17">
        <v>1</v>
      </c>
      <c r="BB17">
        <v>0</v>
      </c>
      <c r="BC17">
        <v>2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3</v>
      </c>
      <c r="BJ17">
        <v>1</v>
      </c>
      <c r="BK17">
        <v>1</v>
      </c>
      <c r="BL17">
        <v>3</v>
      </c>
      <c r="BM17">
        <v>2</v>
      </c>
      <c r="BN17">
        <v>6</v>
      </c>
      <c r="BO17">
        <v>0</v>
      </c>
      <c r="BP17">
        <v>2</v>
      </c>
      <c r="BQ17">
        <v>3</v>
      </c>
      <c r="BR17">
        <v>2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4</v>
      </c>
      <c r="CB17">
        <v>1</v>
      </c>
      <c r="CC17">
        <v>1</v>
      </c>
      <c r="CD17">
        <v>6</v>
      </c>
      <c r="CE17">
        <v>2</v>
      </c>
      <c r="CF17">
        <v>2</v>
      </c>
      <c r="CG17">
        <v>19</v>
      </c>
      <c r="CH17">
        <v>11</v>
      </c>
      <c r="CI17">
        <v>26</v>
      </c>
      <c r="CJ17">
        <v>8</v>
      </c>
      <c r="CK17">
        <v>9</v>
      </c>
      <c r="CL17">
        <v>16</v>
      </c>
      <c r="CM17">
        <v>9</v>
      </c>
      <c r="CN17">
        <v>24</v>
      </c>
      <c r="CO17">
        <v>8</v>
      </c>
      <c r="CP17" s="26">
        <v>8</v>
      </c>
      <c r="CQ17" s="20">
        <v>7</v>
      </c>
      <c r="CR17" s="24">
        <v>24.63095238095238</v>
      </c>
      <c r="CS17" s="24">
        <v>25.75</v>
      </c>
      <c r="CT17" s="24">
        <v>8.8928571428571441</v>
      </c>
      <c r="CU17" s="24">
        <v>495.71428571428572</v>
      </c>
      <c r="CV17" s="24">
        <v>407.85714285714283</v>
      </c>
      <c r="CW17" s="24">
        <v>67.142857142857139</v>
      </c>
      <c r="CX17" s="24">
        <v>82.053160270250274</v>
      </c>
      <c r="CY17" s="25">
        <v>20.714285714285715</v>
      </c>
      <c r="CZ17" s="20">
        <v>7</v>
      </c>
      <c r="DA17" s="24">
        <v>24.63095238095238</v>
      </c>
      <c r="DB17" s="24">
        <v>25.37857142857143</v>
      </c>
      <c r="DC17" s="24">
        <v>8.6523809523809518</v>
      </c>
      <c r="DD17" s="24">
        <v>8.8928571428571441</v>
      </c>
      <c r="DE17" s="24">
        <v>495.71428571428572</v>
      </c>
      <c r="DF17" s="24">
        <v>385</v>
      </c>
      <c r="DG17" s="24">
        <v>44.857142857142854</v>
      </c>
      <c r="DH17" s="24">
        <v>77.477142857142866</v>
      </c>
      <c r="DI17" s="24">
        <v>51.428571428571431</v>
      </c>
      <c r="DJ17" s="24">
        <v>74.187868979132432</v>
      </c>
      <c r="DK17" s="24">
        <v>90.22838508177999</v>
      </c>
      <c r="DL17" s="25">
        <v>86.241596036023523</v>
      </c>
      <c r="DM17" s="20">
        <v>20</v>
      </c>
      <c r="DN17" s="24">
        <v>22.674166666666672</v>
      </c>
      <c r="DO17" s="24">
        <v>23.445</v>
      </c>
      <c r="DP17" s="24">
        <v>8.2958333333333325</v>
      </c>
      <c r="DQ17" s="24">
        <v>577.29999999999995</v>
      </c>
      <c r="DR17" s="24">
        <v>505.55</v>
      </c>
      <c r="DS17" s="24">
        <v>46.25</v>
      </c>
      <c r="DT17" s="24">
        <v>87.738587978942306</v>
      </c>
      <c r="DU17" s="25">
        <v>25.5</v>
      </c>
      <c r="DV17" s="20">
        <v>20</v>
      </c>
      <c r="DW17" s="24">
        <v>22.674166666666672</v>
      </c>
      <c r="DX17" s="24">
        <v>23.460833333333333</v>
      </c>
      <c r="DY17" s="24">
        <v>8.0266666666666673</v>
      </c>
      <c r="DZ17" s="24">
        <v>8.2958333333333325</v>
      </c>
      <c r="EA17" s="24">
        <v>577.29999999999995</v>
      </c>
      <c r="EB17" s="24">
        <v>456.35</v>
      </c>
      <c r="EC17" s="24">
        <v>456.35</v>
      </c>
      <c r="ED17" s="24">
        <v>79.011999999999972</v>
      </c>
      <c r="EE17" s="24">
        <v>57.6</v>
      </c>
      <c r="EF17" s="24">
        <v>72.838706933084467</v>
      </c>
      <c r="EG17" s="24">
        <v>88.043396160071694</v>
      </c>
      <c r="EH17" s="25">
        <v>86.666536621506594</v>
      </c>
      <c r="EI17" s="20">
        <v>20</v>
      </c>
      <c r="EJ17" s="24">
        <v>22.674166666666672</v>
      </c>
      <c r="EK17" s="24">
        <v>23.445</v>
      </c>
      <c r="EL17" s="24">
        <v>8.2958333333333325</v>
      </c>
      <c r="EM17" s="24">
        <v>577.29999999999995</v>
      </c>
      <c r="EN17" s="24">
        <v>505.55</v>
      </c>
      <c r="EO17" s="24">
        <v>46.25</v>
      </c>
      <c r="EP17" s="24">
        <v>87.738587978942306</v>
      </c>
      <c r="EQ17" s="25">
        <v>25.5</v>
      </c>
      <c r="ER17" s="20">
        <v>20</v>
      </c>
      <c r="ES17" s="24">
        <v>22.674166666666672</v>
      </c>
      <c r="ET17" s="24">
        <v>23.460833333333333</v>
      </c>
      <c r="EU17" s="24">
        <v>8.0266666666666673</v>
      </c>
      <c r="EV17" s="24">
        <v>8.2958333333333325</v>
      </c>
      <c r="EW17" s="24">
        <v>577.29999999999995</v>
      </c>
      <c r="EX17" s="24">
        <v>456.35</v>
      </c>
      <c r="EY17" s="24">
        <v>47.2</v>
      </c>
      <c r="EZ17" s="24">
        <v>79.011999999999972</v>
      </c>
      <c r="FA17" s="24">
        <v>57.6</v>
      </c>
      <c r="FB17" s="24">
        <v>72.838706933084467</v>
      </c>
      <c r="FC17" s="24">
        <v>88.043396160071694</v>
      </c>
      <c r="FD17" s="24">
        <v>86.666536621506594</v>
      </c>
    </row>
    <row r="18" spans="1:160" x14ac:dyDescent="0.25">
      <c r="A18">
        <v>4040</v>
      </c>
      <c r="B18">
        <v>1</v>
      </c>
      <c r="C18">
        <v>24</v>
      </c>
      <c r="D18" s="1">
        <v>1.8</v>
      </c>
      <c r="E18">
        <v>79</v>
      </c>
      <c r="F18">
        <v>24.38</v>
      </c>
      <c r="G18">
        <v>2</v>
      </c>
      <c r="H18">
        <v>15</v>
      </c>
      <c r="I18">
        <v>20</v>
      </c>
      <c r="J18">
        <v>1</v>
      </c>
      <c r="K18">
        <v>2</v>
      </c>
      <c r="L18">
        <v>3</v>
      </c>
      <c r="M18" s="1">
        <v>23.9</v>
      </c>
      <c r="O18" s="1">
        <v>23</v>
      </c>
      <c r="P18" s="1">
        <v>-0.9</v>
      </c>
      <c r="Q18" s="1">
        <v>27.22</v>
      </c>
      <c r="R18" s="1">
        <v>3.32</v>
      </c>
      <c r="S18" s="1">
        <v>22</v>
      </c>
      <c r="T18">
        <v>0</v>
      </c>
      <c r="U18">
        <v>1</v>
      </c>
      <c r="V18">
        <v>0</v>
      </c>
      <c r="W18">
        <v>6</v>
      </c>
      <c r="X18">
        <v>1</v>
      </c>
      <c r="Y18">
        <v>8</v>
      </c>
      <c r="Z18">
        <v>16</v>
      </c>
      <c r="AA18">
        <v>2</v>
      </c>
      <c r="AB18">
        <v>1</v>
      </c>
      <c r="AC18">
        <v>22</v>
      </c>
      <c r="AD18">
        <v>4</v>
      </c>
      <c r="AE18">
        <v>3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2</v>
      </c>
      <c r="AL18">
        <v>7</v>
      </c>
      <c r="AM18">
        <v>2</v>
      </c>
      <c r="AN18">
        <v>10</v>
      </c>
      <c r="AO18">
        <v>5</v>
      </c>
      <c r="AP18">
        <v>7</v>
      </c>
      <c r="AQ18">
        <v>22</v>
      </c>
      <c r="AR18">
        <v>12</v>
      </c>
      <c r="AS18">
        <v>12</v>
      </c>
      <c r="AT18">
        <v>11</v>
      </c>
      <c r="AU18">
        <v>2</v>
      </c>
      <c r="AV18">
        <v>11</v>
      </c>
      <c r="AW18">
        <v>5</v>
      </c>
      <c r="AX18">
        <v>1</v>
      </c>
      <c r="AY18">
        <v>1</v>
      </c>
      <c r="AZ18">
        <v>4</v>
      </c>
      <c r="BA18">
        <v>1</v>
      </c>
      <c r="BB18">
        <v>1</v>
      </c>
      <c r="BC18">
        <v>1</v>
      </c>
      <c r="BD18">
        <v>0</v>
      </c>
      <c r="BE18">
        <v>0</v>
      </c>
      <c r="BF18">
        <v>1</v>
      </c>
      <c r="BG18">
        <v>1</v>
      </c>
      <c r="BH18">
        <v>1</v>
      </c>
      <c r="BI18">
        <v>5</v>
      </c>
      <c r="BJ18">
        <v>1</v>
      </c>
      <c r="BK18">
        <v>2</v>
      </c>
      <c r="BL18">
        <v>2</v>
      </c>
      <c r="BM18">
        <v>2</v>
      </c>
      <c r="BN18">
        <v>6</v>
      </c>
      <c r="BO18">
        <v>4</v>
      </c>
      <c r="BP18">
        <v>3</v>
      </c>
      <c r="BQ18">
        <v>4</v>
      </c>
      <c r="BR18">
        <v>2</v>
      </c>
      <c r="BS18">
        <v>2</v>
      </c>
      <c r="BT18">
        <v>1</v>
      </c>
      <c r="BU18">
        <v>1</v>
      </c>
      <c r="BV18">
        <v>1</v>
      </c>
      <c r="BW18">
        <v>2</v>
      </c>
      <c r="BX18">
        <v>1</v>
      </c>
      <c r="BY18">
        <v>1</v>
      </c>
      <c r="BZ18">
        <v>1</v>
      </c>
      <c r="CA18">
        <v>3</v>
      </c>
      <c r="CB18">
        <v>1</v>
      </c>
      <c r="CC18">
        <v>5</v>
      </c>
      <c r="CD18">
        <v>5</v>
      </c>
      <c r="CE18">
        <v>2</v>
      </c>
      <c r="CF18">
        <v>2</v>
      </c>
      <c r="CG18">
        <v>21</v>
      </c>
      <c r="CH18">
        <v>23</v>
      </c>
      <c r="CI18">
        <v>19</v>
      </c>
      <c r="CJ18">
        <v>19</v>
      </c>
      <c r="CK18">
        <v>13</v>
      </c>
      <c r="CL18">
        <v>18</v>
      </c>
      <c r="CM18">
        <v>15</v>
      </c>
      <c r="CN18">
        <v>18</v>
      </c>
      <c r="CO18">
        <v>12</v>
      </c>
      <c r="CP18" s="26">
        <v>13</v>
      </c>
      <c r="CQ18" s="20">
        <v>7</v>
      </c>
      <c r="CR18" s="24">
        <v>25.785714285714285</v>
      </c>
      <c r="CS18" s="24">
        <v>25.973809523809525</v>
      </c>
      <c r="CT18" s="24">
        <v>12.935714285714285</v>
      </c>
      <c r="CU18" s="24">
        <v>669</v>
      </c>
      <c r="CV18" s="24">
        <v>637</v>
      </c>
      <c r="CW18" s="24">
        <v>11.285714285714286</v>
      </c>
      <c r="CX18" s="24">
        <v>95.128220755684097</v>
      </c>
      <c r="CY18" s="25">
        <v>20.714285714285715</v>
      </c>
      <c r="CZ18" s="20">
        <v>6</v>
      </c>
      <c r="DA18" s="24">
        <v>27.222222222222218</v>
      </c>
      <c r="DB18" s="24">
        <v>27.7</v>
      </c>
      <c r="DC18" s="24">
        <v>12.52222222222222</v>
      </c>
      <c r="DD18" s="24">
        <v>13.15</v>
      </c>
      <c r="DE18" s="24">
        <v>595.66666666666663</v>
      </c>
      <c r="DF18" s="24">
        <v>487.83333333333331</v>
      </c>
      <c r="DG18" s="24">
        <v>28.666666666666668</v>
      </c>
      <c r="DH18" s="24">
        <v>80.568333333333342</v>
      </c>
      <c r="DI18" s="24">
        <v>41.5</v>
      </c>
      <c r="DJ18" s="24">
        <v>86.607301495731988</v>
      </c>
      <c r="DK18" s="24">
        <v>91.694198120920078</v>
      </c>
      <c r="DL18" s="25">
        <v>85.033723478499311</v>
      </c>
      <c r="DN18" s="24"/>
      <c r="DO18" s="24"/>
      <c r="DP18" s="24"/>
      <c r="DQ18" s="24"/>
      <c r="DR18" s="24"/>
      <c r="DS18" s="24"/>
      <c r="DT18" s="24"/>
      <c r="DU18" s="25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5"/>
      <c r="EJ18" s="24"/>
      <c r="EK18" s="24"/>
      <c r="EL18" s="24"/>
      <c r="EM18" s="24"/>
      <c r="EN18" s="24"/>
      <c r="EO18" s="24"/>
      <c r="EP18" s="24"/>
      <c r="EQ18" s="25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</row>
    <row r="19" spans="1:160" x14ac:dyDescent="0.25">
      <c r="A19">
        <v>4044</v>
      </c>
      <c r="B19">
        <v>1</v>
      </c>
      <c r="C19">
        <v>31</v>
      </c>
      <c r="D19" s="1">
        <v>1.72</v>
      </c>
      <c r="E19">
        <v>75</v>
      </c>
      <c r="F19">
        <v>25.35</v>
      </c>
      <c r="G19">
        <v>1</v>
      </c>
      <c r="H19">
        <v>15</v>
      </c>
      <c r="I19">
        <v>18</v>
      </c>
      <c r="J19">
        <v>1</v>
      </c>
      <c r="K19">
        <v>1</v>
      </c>
      <c r="L19">
        <v>3</v>
      </c>
      <c r="M19" s="1">
        <v>21.68</v>
      </c>
      <c r="N19">
        <v>21.53</v>
      </c>
      <c r="O19" s="1">
        <v>22</v>
      </c>
      <c r="P19" s="1">
        <v>0.32</v>
      </c>
      <c r="Q19" s="1">
        <v>23.77</v>
      </c>
      <c r="R19" s="1">
        <v>2.09</v>
      </c>
      <c r="S19" s="1">
        <v>21</v>
      </c>
      <c r="T19">
        <v>0</v>
      </c>
      <c r="U19">
        <v>2</v>
      </c>
      <c r="V19">
        <v>0</v>
      </c>
      <c r="W19">
        <v>4</v>
      </c>
      <c r="X19">
        <v>1</v>
      </c>
      <c r="Y19">
        <v>8</v>
      </c>
      <c r="Z19">
        <v>8</v>
      </c>
      <c r="AA19">
        <v>1</v>
      </c>
      <c r="AB19">
        <v>1</v>
      </c>
      <c r="AC19">
        <v>19</v>
      </c>
      <c r="AD19">
        <v>3</v>
      </c>
      <c r="AE19">
        <v>2</v>
      </c>
      <c r="AF19">
        <v>3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9</v>
      </c>
      <c r="AM19">
        <v>2</v>
      </c>
      <c r="AN19">
        <v>5</v>
      </c>
      <c r="AO19">
        <v>1</v>
      </c>
      <c r="AP19">
        <v>1</v>
      </c>
      <c r="AQ19">
        <v>7</v>
      </c>
      <c r="AR19">
        <v>0</v>
      </c>
      <c r="AS19">
        <v>20</v>
      </c>
      <c r="AT19">
        <v>6</v>
      </c>
      <c r="AU19">
        <v>1</v>
      </c>
      <c r="AV19">
        <v>4</v>
      </c>
      <c r="AW19">
        <v>12</v>
      </c>
      <c r="AX19">
        <v>1</v>
      </c>
      <c r="AY19">
        <v>1</v>
      </c>
      <c r="AZ19">
        <v>6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3</v>
      </c>
      <c r="BJ19">
        <v>1</v>
      </c>
      <c r="BK19">
        <v>1</v>
      </c>
      <c r="BL19">
        <v>1</v>
      </c>
      <c r="BM19">
        <v>1</v>
      </c>
      <c r="BN19">
        <v>3</v>
      </c>
      <c r="BO19">
        <v>0</v>
      </c>
      <c r="BP19">
        <v>0</v>
      </c>
      <c r="BQ19">
        <v>3</v>
      </c>
      <c r="BR19">
        <v>2</v>
      </c>
      <c r="BS19">
        <v>1</v>
      </c>
      <c r="BT19">
        <v>2</v>
      </c>
      <c r="BU19">
        <v>1</v>
      </c>
      <c r="BV19">
        <v>1</v>
      </c>
      <c r="BW19">
        <v>2</v>
      </c>
      <c r="BX19">
        <v>1</v>
      </c>
      <c r="BY19">
        <v>1</v>
      </c>
      <c r="BZ19">
        <v>1</v>
      </c>
      <c r="CA19">
        <v>4</v>
      </c>
      <c r="CB19">
        <v>1</v>
      </c>
      <c r="CC19">
        <v>1</v>
      </c>
      <c r="CD19">
        <v>5</v>
      </c>
      <c r="CE19">
        <v>2</v>
      </c>
      <c r="CF19">
        <v>1</v>
      </c>
      <c r="CG19">
        <v>34</v>
      </c>
      <c r="CH19">
        <v>31</v>
      </c>
      <c r="CI19">
        <v>25</v>
      </c>
      <c r="CJ19">
        <v>17</v>
      </c>
      <c r="CK19">
        <v>17</v>
      </c>
      <c r="CL19">
        <v>18</v>
      </c>
      <c r="CM19">
        <v>15</v>
      </c>
      <c r="CN19">
        <v>13</v>
      </c>
      <c r="CO19">
        <v>11</v>
      </c>
      <c r="CP19" s="26">
        <v>11</v>
      </c>
      <c r="CQ19" s="20">
        <v>7</v>
      </c>
      <c r="CR19" s="24">
        <v>23.835714285714285</v>
      </c>
      <c r="CS19" s="24">
        <v>24.288095238095242</v>
      </c>
      <c r="CT19" s="24">
        <v>8.2023809523809526</v>
      </c>
      <c r="CU19" s="24">
        <v>502</v>
      </c>
      <c r="CV19" s="24">
        <v>455.57142857142856</v>
      </c>
      <c r="CW19" s="24">
        <v>27.142857142857142</v>
      </c>
      <c r="CX19" s="24">
        <v>90.624715298104249</v>
      </c>
      <c r="CY19" s="25">
        <v>19.285714285714285</v>
      </c>
      <c r="CZ19" s="20">
        <v>5</v>
      </c>
      <c r="DA19" s="24">
        <v>23.77</v>
      </c>
      <c r="DB19" s="24">
        <v>24.223333333333333</v>
      </c>
      <c r="DC19" s="24">
        <v>7.3933333333333335</v>
      </c>
      <c r="DD19" s="24">
        <v>8.0833333333333339</v>
      </c>
      <c r="DE19" s="24">
        <v>498.8</v>
      </c>
      <c r="DF19" s="24">
        <v>386</v>
      </c>
      <c r="DG19" s="24">
        <v>27.2</v>
      </c>
      <c r="DH19" s="24">
        <v>77.583999999999989</v>
      </c>
      <c r="DI19" s="24">
        <v>44.2</v>
      </c>
      <c r="DJ19" s="24">
        <v>89.800231263704688</v>
      </c>
      <c r="DK19" s="24">
        <v>90.208234270604891</v>
      </c>
      <c r="DL19" s="25">
        <v>79.323087036168118</v>
      </c>
      <c r="DM19" s="20">
        <v>14</v>
      </c>
      <c r="DN19" s="24">
        <v>23.302564102564101</v>
      </c>
      <c r="DO19" s="24">
        <v>23.623076923076926</v>
      </c>
      <c r="DP19" s="24">
        <v>7.6410256410256405</v>
      </c>
      <c r="DQ19" s="24">
        <v>500.30769230769232</v>
      </c>
      <c r="DR19" s="24">
        <v>471.07692307692309</v>
      </c>
      <c r="DS19" s="24">
        <v>19.23076923076923</v>
      </c>
      <c r="DT19" s="24">
        <v>94.127603858875347</v>
      </c>
      <c r="DU19" s="25">
        <v>10</v>
      </c>
      <c r="DV19" s="20">
        <v>14</v>
      </c>
      <c r="DW19" s="24">
        <v>23.25151515151515</v>
      </c>
      <c r="DX19" s="24">
        <v>24.022222222222222</v>
      </c>
      <c r="DY19" s="24">
        <v>6.0777777777777784</v>
      </c>
      <c r="DZ19" s="24">
        <v>7.5303030303030312</v>
      </c>
      <c r="EA19" s="24">
        <v>496.72727272727275</v>
      </c>
      <c r="EB19" s="24">
        <v>320.33333333333331</v>
      </c>
      <c r="EC19" s="24">
        <v>320.33333333333331</v>
      </c>
      <c r="ED19" s="24">
        <v>62.696666666666658</v>
      </c>
      <c r="EE19" s="24">
        <v>43</v>
      </c>
      <c r="EF19" s="24">
        <v>85.944723897346805</v>
      </c>
      <c r="EG19" s="24">
        <v>87.510162715755413</v>
      </c>
      <c r="EH19" s="25">
        <v>78.214282813084495</v>
      </c>
      <c r="EI19" s="20">
        <v>6</v>
      </c>
      <c r="EJ19" s="24">
        <v>22.75</v>
      </c>
      <c r="EK19" s="24">
        <v>23.013888888888886</v>
      </c>
      <c r="EL19" s="24">
        <v>7.4861111111111116</v>
      </c>
      <c r="EM19" s="24">
        <v>524.16666666666663</v>
      </c>
      <c r="EN19" s="24">
        <v>499.16666666666669</v>
      </c>
      <c r="EO19" s="24">
        <v>15.833333333333334</v>
      </c>
      <c r="EP19" s="24">
        <v>95.294357014060338</v>
      </c>
      <c r="EQ19" s="25">
        <v>9.1666666666666661</v>
      </c>
      <c r="ER19" s="20">
        <v>5</v>
      </c>
      <c r="ES19" s="24">
        <v>22.716666666666665</v>
      </c>
      <c r="ET19" s="24">
        <v>23.716666666666669</v>
      </c>
      <c r="EU19" s="24">
        <v>6.5333333333333341</v>
      </c>
      <c r="EV19" s="24">
        <v>7.4833333333333343</v>
      </c>
      <c r="EW19" s="24">
        <v>526</v>
      </c>
      <c r="EX19" s="24">
        <v>361</v>
      </c>
      <c r="EY19" s="24">
        <v>71.333333333333329</v>
      </c>
      <c r="EZ19" s="24">
        <v>66.066666666666663</v>
      </c>
      <c r="FA19" s="24">
        <v>48</v>
      </c>
      <c r="FB19" s="24">
        <v>84.745627980922094</v>
      </c>
      <c r="FC19" s="24">
        <v>88.047954086752597</v>
      </c>
      <c r="FD19" s="24">
        <v>78.047178831492559</v>
      </c>
    </row>
    <row r="20" spans="1:160" x14ac:dyDescent="0.25">
      <c r="A20">
        <v>4049</v>
      </c>
      <c r="B20">
        <v>1</v>
      </c>
      <c r="C20">
        <v>24</v>
      </c>
      <c r="D20" s="1">
        <v>1.72</v>
      </c>
      <c r="E20">
        <v>70</v>
      </c>
      <c r="F20">
        <v>23.66</v>
      </c>
      <c r="G20">
        <v>2</v>
      </c>
      <c r="H20">
        <v>17</v>
      </c>
      <c r="I20">
        <v>21</v>
      </c>
      <c r="J20">
        <v>1</v>
      </c>
      <c r="K20">
        <v>3</v>
      </c>
      <c r="L20">
        <v>3</v>
      </c>
      <c r="M20" s="1">
        <v>21.97</v>
      </c>
      <c r="O20" s="1">
        <v>21</v>
      </c>
      <c r="P20" s="1">
        <v>-0.97</v>
      </c>
      <c r="Q20" s="1">
        <v>24.599999999999998</v>
      </c>
      <c r="R20" s="1">
        <v>2.63</v>
      </c>
      <c r="S20" s="1">
        <v>20</v>
      </c>
      <c r="T20">
        <v>0</v>
      </c>
      <c r="U20">
        <v>2</v>
      </c>
      <c r="V20">
        <v>0</v>
      </c>
      <c r="W20">
        <v>4</v>
      </c>
      <c r="X20">
        <v>1</v>
      </c>
      <c r="Y20">
        <v>0</v>
      </c>
      <c r="Z20">
        <v>5</v>
      </c>
      <c r="AA20">
        <v>1</v>
      </c>
      <c r="AB20">
        <v>1</v>
      </c>
      <c r="AC20">
        <v>13</v>
      </c>
      <c r="AD20">
        <v>2</v>
      </c>
      <c r="AE20">
        <v>1</v>
      </c>
      <c r="AF20">
        <v>2</v>
      </c>
      <c r="AG20">
        <v>2</v>
      </c>
      <c r="AH20">
        <v>0</v>
      </c>
      <c r="AI20">
        <v>1</v>
      </c>
      <c r="AJ20">
        <v>0</v>
      </c>
      <c r="AK20">
        <v>0</v>
      </c>
      <c r="AL20">
        <v>6</v>
      </c>
      <c r="AM20">
        <v>2</v>
      </c>
      <c r="AN20">
        <v>6</v>
      </c>
      <c r="AO20">
        <v>8</v>
      </c>
      <c r="AP20">
        <v>1</v>
      </c>
      <c r="AQ20">
        <v>15</v>
      </c>
      <c r="AR20">
        <v>0</v>
      </c>
      <c r="AS20">
        <v>7</v>
      </c>
      <c r="AT20">
        <v>2</v>
      </c>
      <c r="AU20">
        <v>1</v>
      </c>
      <c r="AV20">
        <v>3</v>
      </c>
      <c r="AW20">
        <v>4</v>
      </c>
      <c r="AX20">
        <v>1</v>
      </c>
      <c r="AY20">
        <v>1</v>
      </c>
      <c r="AZ20">
        <v>10</v>
      </c>
      <c r="BA20">
        <v>2</v>
      </c>
      <c r="BB20">
        <v>1</v>
      </c>
      <c r="BC20">
        <v>3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5</v>
      </c>
      <c r="BJ20">
        <v>1</v>
      </c>
      <c r="BK20">
        <v>5</v>
      </c>
      <c r="BL20">
        <v>8</v>
      </c>
      <c r="BM20">
        <v>2</v>
      </c>
      <c r="BN20">
        <v>15</v>
      </c>
      <c r="BO20">
        <v>0</v>
      </c>
      <c r="BP20">
        <v>2</v>
      </c>
      <c r="BQ20">
        <v>6</v>
      </c>
      <c r="BR20">
        <v>2</v>
      </c>
      <c r="BS20">
        <v>2</v>
      </c>
      <c r="BT20">
        <v>2</v>
      </c>
      <c r="BU20">
        <v>1</v>
      </c>
      <c r="BV20">
        <v>1</v>
      </c>
      <c r="BW20">
        <v>2</v>
      </c>
      <c r="BX20">
        <v>1</v>
      </c>
      <c r="BY20">
        <v>1</v>
      </c>
      <c r="BZ20">
        <v>1</v>
      </c>
      <c r="CA20">
        <v>3</v>
      </c>
      <c r="CB20">
        <v>1</v>
      </c>
      <c r="CC20">
        <v>5</v>
      </c>
      <c r="CD20">
        <v>4</v>
      </c>
      <c r="CE20">
        <v>2</v>
      </c>
      <c r="CF20">
        <v>2</v>
      </c>
      <c r="CG20">
        <v>18</v>
      </c>
      <c r="CH20">
        <v>29</v>
      </c>
      <c r="CI20">
        <v>15</v>
      </c>
      <c r="CJ20">
        <v>17</v>
      </c>
      <c r="CK20">
        <v>21</v>
      </c>
      <c r="CL20">
        <v>16</v>
      </c>
      <c r="CM20">
        <v>12</v>
      </c>
      <c r="CN20">
        <v>10</v>
      </c>
      <c r="CO20">
        <v>11</v>
      </c>
      <c r="CP20" s="26">
        <v>12</v>
      </c>
      <c r="CQ20" s="20">
        <v>7</v>
      </c>
      <c r="CR20" s="24">
        <v>24.845238095238095</v>
      </c>
      <c r="CS20" s="24">
        <v>25.333333333333336</v>
      </c>
      <c r="CT20" s="24">
        <v>8.2023809523809508</v>
      </c>
      <c r="CU20" s="24">
        <v>441.42857142857144</v>
      </c>
      <c r="CV20" s="24">
        <v>403.71428571428572</v>
      </c>
      <c r="CW20" s="24">
        <v>29.285714285714285</v>
      </c>
      <c r="CX20" s="24">
        <v>91.073512822023986</v>
      </c>
      <c r="CY20" s="25">
        <v>8.4285714285714288</v>
      </c>
      <c r="CZ20" s="20">
        <v>7</v>
      </c>
      <c r="DA20" s="24">
        <v>24.602380952380951</v>
      </c>
      <c r="DB20" s="24">
        <v>24.971428571428572</v>
      </c>
      <c r="DC20" s="24">
        <v>8.0166666666666675</v>
      </c>
      <c r="DD20" s="24">
        <v>8.2023809523809508</v>
      </c>
      <c r="DE20" s="24">
        <v>456</v>
      </c>
      <c r="DF20" s="24">
        <v>405.42857142857144</v>
      </c>
      <c r="DG20" s="24">
        <v>22.142857142857142</v>
      </c>
      <c r="DH20" s="24">
        <v>88.704285714285717</v>
      </c>
      <c r="DI20" s="24">
        <v>17.285714285714285</v>
      </c>
      <c r="DJ20" s="24">
        <v>86.372446032150137</v>
      </c>
      <c r="DK20" s="24">
        <v>96.521486276927448</v>
      </c>
      <c r="DL20" s="25">
        <v>89.727897476442848</v>
      </c>
      <c r="DN20" s="24"/>
      <c r="DO20" s="24"/>
      <c r="DP20" s="24"/>
      <c r="DQ20" s="24"/>
      <c r="DR20" s="24"/>
      <c r="DS20" s="24"/>
      <c r="DT20" s="24"/>
      <c r="DU20" s="25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5"/>
      <c r="EJ20" s="24"/>
      <c r="EK20" s="24"/>
      <c r="EL20" s="24"/>
      <c r="EM20" s="24"/>
      <c r="EN20" s="24"/>
      <c r="EO20" s="24"/>
      <c r="EP20" s="24"/>
      <c r="EQ20" s="25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</row>
    <row r="21" spans="1:160" x14ac:dyDescent="0.25">
      <c r="A21">
        <v>4050</v>
      </c>
      <c r="B21">
        <v>2</v>
      </c>
      <c r="C21">
        <v>27</v>
      </c>
      <c r="D21" s="1">
        <v>1.52</v>
      </c>
      <c r="E21">
        <v>75</v>
      </c>
      <c r="F21">
        <v>32.46</v>
      </c>
      <c r="G21">
        <v>1</v>
      </c>
      <c r="H21">
        <v>15</v>
      </c>
      <c r="I21">
        <v>21</v>
      </c>
      <c r="J21">
        <v>1</v>
      </c>
      <c r="K21">
        <v>1</v>
      </c>
      <c r="L21">
        <v>3</v>
      </c>
      <c r="M21" s="1">
        <v>21.6</v>
      </c>
      <c r="N21">
        <v>23.67</v>
      </c>
      <c r="O21" s="1">
        <v>22</v>
      </c>
      <c r="P21" s="1">
        <v>0.4</v>
      </c>
      <c r="Q21" s="1">
        <v>24.92</v>
      </c>
      <c r="R21" s="1">
        <v>3.32</v>
      </c>
      <c r="S21" s="1">
        <v>21</v>
      </c>
      <c r="T21">
        <v>0</v>
      </c>
      <c r="U21">
        <v>2</v>
      </c>
      <c r="V21">
        <v>0</v>
      </c>
      <c r="W21">
        <v>3</v>
      </c>
      <c r="X21">
        <v>1</v>
      </c>
      <c r="Y21">
        <v>7</v>
      </c>
      <c r="Z21">
        <v>5</v>
      </c>
      <c r="AA21">
        <v>1</v>
      </c>
      <c r="AB21">
        <v>1</v>
      </c>
      <c r="AC21">
        <v>8</v>
      </c>
      <c r="AD21">
        <v>2</v>
      </c>
      <c r="AE21">
        <v>1</v>
      </c>
      <c r="AF21">
        <v>3</v>
      </c>
      <c r="AG21">
        <v>2</v>
      </c>
      <c r="AH21">
        <v>1</v>
      </c>
      <c r="AI21">
        <v>1</v>
      </c>
      <c r="AJ21">
        <v>0</v>
      </c>
      <c r="AK21">
        <v>1</v>
      </c>
      <c r="AL21">
        <v>9</v>
      </c>
      <c r="AM21">
        <v>2</v>
      </c>
      <c r="AN21">
        <v>8</v>
      </c>
      <c r="AO21">
        <v>2</v>
      </c>
      <c r="AP21">
        <v>1</v>
      </c>
      <c r="AQ21">
        <v>11</v>
      </c>
      <c r="AR21">
        <v>4</v>
      </c>
      <c r="AS21">
        <v>20</v>
      </c>
      <c r="AT21">
        <v>5</v>
      </c>
      <c r="AU21">
        <v>1</v>
      </c>
      <c r="AV21">
        <v>12</v>
      </c>
      <c r="AW21">
        <v>9</v>
      </c>
      <c r="AX21">
        <v>1</v>
      </c>
      <c r="AY21">
        <v>1</v>
      </c>
      <c r="AZ21">
        <v>11</v>
      </c>
      <c r="BA21">
        <v>2</v>
      </c>
      <c r="BB21">
        <v>2</v>
      </c>
      <c r="BC21">
        <v>3</v>
      </c>
      <c r="BD21">
        <v>0</v>
      </c>
      <c r="BE21">
        <v>0</v>
      </c>
      <c r="BF21">
        <v>2</v>
      </c>
      <c r="BG21">
        <v>0</v>
      </c>
      <c r="BH21">
        <v>1</v>
      </c>
      <c r="BI21">
        <v>8</v>
      </c>
      <c r="BJ21">
        <v>2</v>
      </c>
      <c r="BK21">
        <v>7</v>
      </c>
      <c r="BL21">
        <v>2</v>
      </c>
      <c r="BM21">
        <v>8</v>
      </c>
      <c r="BN21">
        <v>17</v>
      </c>
      <c r="BO21">
        <v>4</v>
      </c>
      <c r="BP21">
        <v>15</v>
      </c>
      <c r="BQ21">
        <v>4</v>
      </c>
      <c r="BR21">
        <v>2</v>
      </c>
      <c r="BS21">
        <v>2</v>
      </c>
      <c r="BT21">
        <v>2</v>
      </c>
      <c r="BU21">
        <v>1</v>
      </c>
      <c r="BV21">
        <v>1</v>
      </c>
      <c r="BW21">
        <v>3</v>
      </c>
      <c r="BX21">
        <v>2</v>
      </c>
      <c r="BY21">
        <v>1</v>
      </c>
      <c r="BZ21">
        <v>2</v>
      </c>
      <c r="CA21">
        <v>2</v>
      </c>
      <c r="CB21">
        <v>2</v>
      </c>
      <c r="CC21">
        <v>10</v>
      </c>
      <c r="CD21">
        <v>5</v>
      </c>
      <c r="CE21">
        <v>2</v>
      </c>
      <c r="CF21">
        <v>1</v>
      </c>
      <c r="CG21">
        <v>30</v>
      </c>
      <c r="CH21">
        <v>33</v>
      </c>
      <c r="CI21">
        <v>32</v>
      </c>
      <c r="CJ21">
        <v>33</v>
      </c>
      <c r="CK21">
        <v>32</v>
      </c>
      <c r="CL21">
        <v>24</v>
      </c>
      <c r="CM21">
        <v>28</v>
      </c>
      <c r="CN21">
        <v>26</v>
      </c>
      <c r="CO21">
        <v>26</v>
      </c>
      <c r="CP21" s="26">
        <v>27</v>
      </c>
      <c r="CQ21" s="20">
        <v>7</v>
      </c>
      <c r="CR21" s="24">
        <v>24.916666666666664</v>
      </c>
      <c r="CS21" s="24">
        <v>25.392857142857139</v>
      </c>
      <c r="CT21" s="24">
        <v>8.6666666666666661</v>
      </c>
      <c r="CU21" s="24">
        <v>465</v>
      </c>
      <c r="CV21" s="24">
        <v>382.14285714285717</v>
      </c>
      <c r="CW21" s="24">
        <v>28.571428571428573</v>
      </c>
      <c r="CX21" s="24">
        <v>81.751163671639191</v>
      </c>
      <c r="CY21" s="25">
        <v>54.285714285714285</v>
      </c>
      <c r="CZ21" s="20">
        <v>7</v>
      </c>
      <c r="DA21" s="24">
        <v>24.916666666666664</v>
      </c>
      <c r="DB21" s="24">
        <v>25.13571428571429</v>
      </c>
      <c r="DC21" s="24">
        <v>8.3166666666666664</v>
      </c>
      <c r="DD21" s="24">
        <v>8.6666666666666661</v>
      </c>
      <c r="DE21" s="24">
        <v>465</v>
      </c>
      <c r="DF21" s="24">
        <v>350.28571428571428</v>
      </c>
      <c r="DG21" s="24">
        <v>13.142857142857142</v>
      </c>
      <c r="DH21" s="24">
        <v>75.238571428571433</v>
      </c>
      <c r="DI21" s="24">
        <v>80.571428571428569</v>
      </c>
      <c r="DJ21" s="24">
        <v>78.731203478090364</v>
      </c>
      <c r="DK21" s="24">
        <v>83.311189077345745</v>
      </c>
      <c r="DL21" s="25">
        <v>72.840945817319238</v>
      </c>
      <c r="DM21" s="20">
        <v>20</v>
      </c>
      <c r="DN21" s="24">
        <v>22.541666666666664</v>
      </c>
      <c r="DO21" s="24">
        <v>23.375</v>
      </c>
      <c r="DP21" s="24">
        <v>8.6249999999999982</v>
      </c>
      <c r="DQ21" s="24">
        <v>605</v>
      </c>
      <c r="DR21" s="24">
        <v>474.5</v>
      </c>
      <c r="DS21" s="24">
        <v>50</v>
      </c>
      <c r="DT21" s="24">
        <v>78.261115315807459</v>
      </c>
      <c r="DU21" s="25">
        <v>80.5</v>
      </c>
      <c r="DV21" s="20">
        <v>20</v>
      </c>
      <c r="DW21" s="24">
        <v>22.653508771929825</v>
      </c>
      <c r="DX21" s="24">
        <v>23.445614035087718</v>
      </c>
      <c r="DY21" s="24">
        <v>7.9903508771929808</v>
      </c>
      <c r="DZ21" s="24">
        <v>8.4912280701754383</v>
      </c>
      <c r="EA21" s="24">
        <v>590.26315789473688</v>
      </c>
      <c r="EB21" s="24">
        <v>400.78947368421052</v>
      </c>
      <c r="EC21" s="24">
        <v>400.78947368421052</v>
      </c>
      <c r="ED21" s="24">
        <v>67.635789473684213</v>
      </c>
      <c r="EE21" s="24">
        <v>111.89473684210526</v>
      </c>
      <c r="EF21" s="24">
        <v>70.011169142261338</v>
      </c>
      <c r="EG21" s="24">
        <v>79.231641182265179</v>
      </c>
      <c r="EH21" s="25">
        <v>71.235351717347726</v>
      </c>
      <c r="EI21" s="20">
        <v>17</v>
      </c>
      <c r="EJ21" s="24">
        <v>22.274509803921568</v>
      </c>
      <c r="EK21" s="24">
        <v>23.102941176470591</v>
      </c>
      <c r="EL21" s="24">
        <v>8.6372549019607856</v>
      </c>
      <c r="EM21" s="24">
        <v>621.76470588235293</v>
      </c>
      <c r="EN21" s="24">
        <v>491.47058823529414</v>
      </c>
      <c r="EO21" s="24">
        <v>49.705882352941174</v>
      </c>
      <c r="EP21" s="24">
        <v>79.36035608439974</v>
      </c>
      <c r="EQ21" s="25">
        <v>80.588235294117652</v>
      </c>
      <c r="ER21" s="20">
        <v>16</v>
      </c>
      <c r="ES21" s="24">
        <v>22.364583333333336</v>
      </c>
      <c r="ET21" s="24">
        <v>23.226041666666667</v>
      </c>
      <c r="EU21" s="24">
        <v>8.0156249999999982</v>
      </c>
      <c r="EV21" s="24">
        <v>8.4583333333333339</v>
      </c>
      <c r="EW21" s="24">
        <v>605.625</v>
      </c>
      <c r="EX21" s="24">
        <v>409.1875</v>
      </c>
      <c r="EY21" s="24">
        <v>51.6875</v>
      </c>
      <c r="EZ21" s="24">
        <v>67.261875000000003</v>
      </c>
      <c r="FA21" s="24">
        <v>118.1875</v>
      </c>
      <c r="FB21" s="24">
        <v>68.932421922593534</v>
      </c>
      <c r="FC21" s="24">
        <v>78.364363874508598</v>
      </c>
      <c r="FD21" s="24">
        <v>71.787333864086762</v>
      </c>
    </row>
    <row r="22" spans="1:160" x14ac:dyDescent="0.25">
      <c r="A22">
        <v>4052</v>
      </c>
      <c r="B22">
        <v>1</v>
      </c>
      <c r="C22">
        <v>36</v>
      </c>
      <c r="D22" s="1">
        <v>1.85</v>
      </c>
      <c r="E22">
        <v>69</v>
      </c>
      <c r="F22">
        <v>20.16</v>
      </c>
      <c r="G22">
        <v>1</v>
      </c>
      <c r="H22">
        <v>11</v>
      </c>
      <c r="I22">
        <v>22</v>
      </c>
      <c r="J22">
        <v>1</v>
      </c>
      <c r="K22">
        <v>1</v>
      </c>
      <c r="L22">
        <v>3</v>
      </c>
      <c r="M22" s="1">
        <v>23.43</v>
      </c>
      <c r="N22">
        <v>22.05</v>
      </c>
      <c r="O22" s="1">
        <v>24</v>
      </c>
      <c r="P22" s="1">
        <v>0.56999999999999995</v>
      </c>
      <c r="Q22" s="1">
        <v>24.99</v>
      </c>
      <c r="R22" s="1">
        <v>1.56</v>
      </c>
      <c r="S22" s="1">
        <v>23</v>
      </c>
      <c r="T22">
        <v>0</v>
      </c>
      <c r="U22">
        <v>1</v>
      </c>
      <c r="V22">
        <v>0</v>
      </c>
      <c r="W22">
        <v>0</v>
      </c>
      <c r="X22">
        <v>1</v>
      </c>
      <c r="Y22">
        <v>4</v>
      </c>
      <c r="Z22">
        <v>11</v>
      </c>
      <c r="AA22">
        <v>1</v>
      </c>
      <c r="AB22">
        <v>1</v>
      </c>
      <c r="AC22">
        <v>7</v>
      </c>
      <c r="AD22">
        <v>1</v>
      </c>
      <c r="AE22">
        <v>1</v>
      </c>
      <c r="AF22">
        <v>3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6</v>
      </c>
      <c r="AM22">
        <v>2</v>
      </c>
      <c r="AN22">
        <v>4</v>
      </c>
      <c r="AO22">
        <v>2</v>
      </c>
      <c r="AP22">
        <v>2</v>
      </c>
      <c r="AQ22">
        <v>8</v>
      </c>
      <c r="AR22">
        <v>0</v>
      </c>
      <c r="AS22">
        <v>5</v>
      </c>
      <c r="AT22">
        <v>3</v>
      </c>
      <c r="AU22">
        <v>1</v>
      </c>
      <c r="AV22">
        <v>4</v>
      </c>
      <c r="AW22">
        <v>1</v>
      </c>
      <c r="AX22">
        <v>1</v>
      </c>
      <c r="AY22">
        <v>1</v>
      </c>
      <c r="AZ22">
        <v>6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4</v>
      </c>
      <c r="BJ22">
        <v>1</v>
      </c>
      <c r="BK22">
        <v>3</v>
      </c>
      <c r="BL22">
        <v>2</v>
      </c>
      <c r="BM22">
        <v>2</v>
      </c>
      <c r="BN22">
        <v>7</v>
      </c>
      <c r="BO22">
        <v>0</v>
      </c>
      <c r="BP22">
        <v>4</v>
      </c>
      <c r="BQ22">
        <v>3</v>
      </c>
      <c r="BR22">
        <v>2</v>
      </c>
      <c r="BS22">
        <v>1</v>
      </c>
      <c r="BT22">
        <v>3</v>
      </c>
      <c r="BU22">
        <v>2</v>
      </c>
      <c r="BV22">
        <v>1</v>
      </c>
      <c r="BW22">
        <v>3</v>
      </c>
      <c r="BX22">
        <v>2</v>
      </c>
      <c r="BY22">
        <v>1</v>
      </c>
      <c r="BZ22">
        <v>2</v>
      </c>
      <c r="CA22">
        <v>2</v>
      </c>
      <c r="CB22">
        <v>1</v>
      </c>
      <c r="CC22">
        <v>9</v>
      </c>
      <c r="CD22">
        <v>3</v>
      </c>
      <c r="CE22">
        <v>1</v>
      </c>
      <c r="CF22">
        <v>1</v>
      </c>
      <c r="CG22">
        <v>15</v>
      </c>
      <c r="CH22">
        <v>14</v>
      </c>
      <c r="CI22">
        <v>16</v>
      </c>
      <c r="CJ22">
        <v>15</v>
      </c>
      <c r="CK22">
        <v>16</v>
      </c>
      <c r="CL22">
        <v>13</v>
      </c>
      <c r="CM22">
        <v>10</v>
      </c>
      <c r="CN22">
        <v>12</v>
      </c>
      <c r="CO22">
        <v>12</v>
      </c>
      <c r="CP22" s="26">
        <v>11</v>
      </c>
      <c r="CQ22" s="20">
        <v>7</v>
      </c>
      <c r="CR22" s="24">
        <v>24.988095238095241</v>
      </c>
      <c r="CS22" s="24">
        <v>25.357142857142858</v>
      </c>
      <c r="CT22" s="24">
        <v>9.0952380952380949</v>
      </c>
      <c r="CU22" s="24">
        <v>486.42857142857144</v>
      </c>
      <c r="CV22" s="24">
        <v>445.71428571428572</v>
      </c>
      <c r="CW22" s="24">
        <v>22.142857142857142</v>
      </c>
      <c r="CX22" s="24">
        <v>91.660063440925455</v>
      </c>
      <c r="CY22" s="25">
        <v>18.571428571428573</v>
      </c>
      <c r="CZ22" s="20">
        <v>7</v>
      </c>
      <c r="DA22" s="24">
        <v>24.988095238095241</v>
      </c>
      <c r="DB22" s="24">
        <v>25.185714285714287</v>
      </c>
      <c r="DC22" s="24">
        <v>8.776190476190477</v>
      </c>
      <c r="DD22" s="24">
        <v>9.0952380952380949</v>
      </c>
      <c r="DE22" s="24">
        <v>486.42857142857144</v>
      </c>
      <c r="DF22" s="24">
        <v>426.71428571428572</v>
      </c>
      <c r="DG22" s="24">
        <v>11.857142857142858</v>
      </c>
      <c r="DH22" s="24">
        <v>87.562857142857141</v>
      </c>
      <c r="DI22" s="24">
        <v>28.714285714285715</v>
      </c>
      <c r="DJ22" s="24">
        <v>90.016119762717054</v>
      </c>
      <c r="DK22" s="24">
        <v>93.49312704451026</v>
      </c>
      <c r="DL22" s="25">
        <v>89.630920587331303</v>
      </c>
      <c r="DM22" s="20">
        <v>19</v>
      </c>
      <c r="DN22" s="24">
        <v>24.129824561403506</v>
      </c>
      <c r="DO22" s="24">
        <v>24.695614035087722</v>
      </c>
      <c r="DP22" s="24">
        <v>8.8947368421052637</v>
      </c>
      <c r="DQ22" s="24">
        <v>525.89473684210532</v>
      </c>
      <c r="DR22" s="24">
        <v>466.15789473684208</v>
      </c>
      <c r="DS22" s="24">
        <v>33.94736842105263</v>
      </c>
      <c r="DT22" s="24">
        <v>88.721377297152046</v>
      </c>
      <c r="DU22" s="25">
        <v>25.789473684210527</v>
      </c>
      <c r="DV22" s="20">
        <v>19</v>
      </c>
      <c r="DW22" s="24">
        <v>24.129824561403506</v>
      </c>
      <c r="DX22" s="24">
        <v>24.508771929824558</v>
      </c>
      <c r="DY22" s="24">
        <v>8.5894736842105264</v>
      </c>
      <c r="DZ22" s="24">
        <v>8.8947368421052637</v>
      </c>
      <c r="EA22" s="24">
        <v>525.89473684210532</v>
      </c>
      <c r="EB22" s="24">
        <v>451.42105263157896</v>
      </c>
      <c r="EC22" s="24">
        <v>451.42105263157896</v>
      </c>
      <c r="ED22" s="24">
        <v>85.867894736842118</v>
      </c>
      <c r="EE22" s="24">
        <v>33.421052631578945</v>
      </c>
      <c r="EF22" s="24">
        <v>86.393597430676849</v>
      </c>
      <c r="EG22" s="24">
        <v>93.483340786366512</v>
      </c>
      <c r="EH22" s="25">
        <v>88.279643724956969</v>
      </c>
      <c r="EI22" s="20">
        <v>19</v>
      </c>
      <c r="EJ22" s="24">
        <v>24.129824561403506</v>
      </c>
      <c r="EK22" s="24">
        <v>24.695614035087722</v>
      </c>
      <c r="EL22" s="24">
        <v>8.8947368421052637</v>
      </c>
      <c r="EM22" s="24">
        <v>525.89473684210532</v>
      </c>
      <c r="EN22" s="24">
        <v>466.15789473684208</v>
      </c>
      <c r="EO22" s="24">
        <v>33.94736842105263</v>
      </c>
      <c r="EP22" s="24">
        <v>88.721377297152046</v>
      </c>
      <c r="EQ22" s="25">
        <v>25.789473684210527</v>
      </c>
      <c r="ER22" s="20">
        <v>19</v>
      </c>
      <c r="ES22" s="24">
        <v>24.129824561403506</v>
      </c>
      <c r="ET22" s="24">
        <v>24.508771929824558</v>
      </c>
      <c r="EU22" s="24">
        <v>8.5894736842105264</v>
      </c>
      <c r="EV22" s="24">
        <v>8.8947368421052637</v>
      </c>
      <c r="EW22" s="24">
        <v>525.89473684210532</v>
      </c>
      <c r="EX22" s="24">
        <v>451.42105263157896</v>
      </c>
      <c r="EY22" s="24">
        <v>22.736842105263158</v>
      </c>
      <c r="EZ22" s="24">
        <v>85.867894736842118</v>
      </c>
      <c r="FA22" s="24">
        <v>33.421052631578945</v>
      </c>
      <c r="FB22" s="24">
        <v>86.393597430676849</v>
      </c>
      <c r="FC22" s="24">
        <v>93.483340786366512</v>
      </c>
      <c r="FD22" s="24">
        <v>88.279643724956969</v>
      </c>
    </row>
    <row r="23" spans="1:160" x14ac:dyDescent="0.25">
      <c r="A23">
        <v>4056</v>
      </c>
      <c r="B23">
        <v>2</v>
      </c>
      <c r="C23">
        <v>21</v>
      </c>
      <c r="D23" s="1">
        <v>1.7</v>
      </c>
      <c r="E23">
        <v>100</v>
      </c>
      <c r="F23">
        <v>34.6</v>
      </c>
      <c r="G23">
        <v>2</v>
      </c>
      <c r="H23">
        <v>15</v>
      </c>
      <c r="I23">
        <v>22</v>
      </c>
      <c r="J23">
        <v>1</v>
      </c>
      <c r="K23">
        <v>1</v>
      </c>
      <c r="L23">
        <v>3</v>
      </c>
      <c r="M23" s="1">
        <v>23.25</v>
      </c>
      <c r="N23">
        <v>23.48</v>
      </c>
      <c r="O23" s="1">
        <v>23.5</v>
      </c>
      <c r="P23" s="1">
        <v>0.25</v>
      </c>
      <c r="Q23" s="1">
        <v>27.13</v>
      </c>
      <c r="R23" s="1">
        <v>3.88</v>
      </c>
      <c r="S23" s="1">
        <v>22.5</v>
      </c>
      <c r="T23">
        <v>0</v>
      </c>
      <c r="U23">
        <v>2</v>
      </c>
      <c r="V23">
        <v>0</v>
      </c>
      <c r="W23">
        <v>2</v>
      </c>
      <c r="X23">
        <v>1</v>
      </c>
      <c r="Y23">
        <v>13</v>
      </c>
      <c r="Z23">
        <v>8</v>
      </c>
      <c r="AA23">
        <v>1</v>
      </c>
      <c r="AB23">
        <v>1</v>
      </c>
      <c r="AC23">
        <v>7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4</v>
      </c>
      <c r="AM23">
        <v>1</v>
      </c>
      <c r="AN23">
        <v>6</v>
      </c>
      <c r="AO23">
        <v>3</v>
      </c>
      <c r="AP23">
        <v>7</v>
      </c>
      <c r="AQ23">
        <v>16</v>
      </c>
      <c r="AR23">
        <v>1</v>
      </c>
      <c r="AS23">
        <v>3</v>
      </c>
      <c r="AT23">
        <v>3</v>
      </c>
      <c r="AU23">
        <v>1</v>
      </c>
      <c r="AV23">
        <v>12</v>
      </c>
      <c r="AW23">
        <v>10</v>
      </c>
      <c r="AX23">
        <v>1</v>
      </c>
      <c r="AY23">
        <v>1</v>
      </c>
      <c r="AZ23">
        <v>6</v>
      </c>
      <c r="BA23">
        <v>1</v>
      </c>
      <c r="BB23">
        <v>1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1</v>
      </c>
      <c r="BI23">
        <v>4</v>
      </c>
      <c r="BJ23">
        <v>1</v>
      </c>
      <c r="BK23">
        <v>6</v>
      </c>
      <c r="BL23">
        <v>2</v>
      </c>
      <c r="BM23">
        <v>5</v>
      </c>
      <c r="BN23">
        <v>13</v>
      </c>
      <c r="BO23">
        <v>1</v>
      </c>
      <c r="BP23">
        <v>0</v>
      </c>
      <c r="BQ23">
        <v>4</v>
      </c>
      <c r="BR23">
        <v>2</v>
      </c>
      <c r="BS23">
        <v>2</v>
      </c>
      <c r="BT23">
        <v>3</v>
      </c>
      <c r="BU23">
        <v>2</v>
      </c>
      <c r="BV23">
        <v>1</v>
      </c>
      <c r="BW23">
        <v>2</v>
      </c>
      <c r="BX23">
        <v>1</v>
      </c>
      <c r="BY23">
        <v>1</v>
      </c>
      <c r="BZ23">
        <v>1</v>
      </c>
      <c r="CA23">
        <v>3</v>
      </c>
      <c r="CB23">
        <v>2</v>
      </c>
      <c r="CC23">
        <v>6</v>
      </c>
      <c r="CD23">
        <v>5</v>
      </c>
      <c r="CE23">
        <v>2</v>
      </c>
      <c r="CF23">
        <v>2</v>
      </c>
      <c r="CG23">
        <v>18</v>
      </c>
      <c r="CH23">
        <v>27</v>
      </c>
      <c r="CI23">
        <v>17</v>
      </c>
      <c r="CJ23">
        <v>15</v>
      </c>
      <c r="CK23">
        <v>21</v>
      </c>
      <c r="CL23">
        <v>20</v>
      </c>
      <c r="CM23">
        <v>22</v>
      </c>
      <c r="CN23">
        <v>19</v>
      </c>
      <c r="CO23">
        <v>13</v>
      </c>
      <c r="CP23" s="26">
        <v>13</v>
      </c>
      <c r="CQ23" s="20">
        <v>7</v>
      </c>
      <c r="CR23" s="24">
        <v>27.126190476190477</v>
      </c>
      <c r="CS23" s="24">
        <v>27.50714285714286</v>
      </c>
      <c r="CT23" s="24">
        <v>11.285714285714286</v>
      </c>
      <c r="CU23" s="24">
        <v>489.57142857142856</v>
      </c>
      <c r="CV23" s="24">
        <v>451</v>
      </c>
      <c r="CW23" s="24">
        <v>22.857142857142858</v>
      </c>
      <c r="CX23" s="24">
        <v>91.992501203096253</v>
      </c>
      <c r="CY23" s="25">
        <v>15.714285714285714</v>
      </c>
      <c r="CZ23" s="20">
        <v>7</v>
      </c>
      <c r="DA23" s="24">
        <v>27.126190476190477</v>
      </c>
      <c r="DB23" s="24">
        <v>27.319047619047616</v>
      </c>
      <c r="DC23" s="24">
        <v>11.283333333333331</v>
      </c>
      <c r="DD23" s="24">
        <v>11.36904761904762</v>
      </c>
      <c r="DE23" s="24">
        <v>494.57142857142856</v>
      </c>
      <c r="DF23" s="24">
        <v>435.57142857142856</v>
      </c>
      <c r="DG23" s="24">
        <v>11.571428571428571</v>
      </c>
      <c r="DH23" s="24">
        <v>88.09714285714287</v>
      </c>
      <c r="DI23" s="24">
        <v>42.285714285714285</v>
      </c>
      <c r="DJ23" s="24">
        <v>87.201530612244895</v>
      </c>
      <c r="DK23" s="24">
        <v>91.031548202805155</v>
      </c>
      <c r="DL23" s="25">
        <v>89.777136293113728</v>
      </c>
      <c r="DM23" s="20">
        <v>21</v>
      </c>
      <c r="DN23" s="24">
        <v>24.071428571428573</v>
      </c>
      <c r="DO23" s="24">
        <v>24.535714285714285</v>
      </c>
      <c r="DP23" s="24">
        <v>9.3095238095238102</v>
      </c>
      <c r="DQ23" s="24">
        <v>554.28571428571433</v>
      </c>
      <c r="DR23" s="24">
        <v>508.09523809523807</v>
      </c>
      <c r="DS23" s="24">
        <v>27.857142857142858</v>
      </c>
      <c r="DT23" s="24">
        <v>90.70640812310765</v>
      </c>
      <c r="DU23" s="25">
        <v>18.333333333333332</v>
      </c>
      <c r="DV23" s="20">
        <v>21</v>
      </c>
      <c r="DW23" s="24">
        <v>24.15</v>
      </c>
      <c r="DX23" s="24">
        <v>24.395833333333332</v>
      </c>
      <c r="DY23" s="24">
        <v>9.1191666666666631</v>
      </c>
      <c r="DZ23" s="24">
        <v>9.25</v>
      </c>
      <c r="EA23" s="24">
        <v>546</v>
      </c>
      <c r="EB23" s="24">
        <v>472.85</v>
      </c>
      <c r="EC23" s="24">
        <v>472.85</v>
      </c>
      <c r="ED23" s="24">
        <v>86.528499999999994</v>
      </c>
      <c r="EE23" s="24">
        <v>50.55</v>
      </c>
      <c r="EF23" s="24">
        <v>84.228468402251053</v>
      </c>
      <c r="EG23" s="24">
        <v>90.009595636580258</v>
      </c>
      <c r="EH23" s="25">
        <v>89.967679188473525</v>
      </c>
      <c r="EI23" s="20">
        <v>19</v>
      </c>
      <c r="EJ23" s="24">
        <v>23.894736842105264</v>
      </c>
      <c r="EK23" s="24">
        <v>24.381578947368421</v>
      </c>
      <c r="EL23" s="24">
        <v>9.0789473684210531</v>
      </c>
      <c r="EM23" s="24">
        <v>551.0526315789474</v>
      </c>
      <c r="EN23" s="24">
        <v>503.42105263157896</v>
      </c>
      <c r="EO23" s="24">
        <v>29.210526315789473</v>
      </c>
      <c r="EP23" s="24">
        <v>90.312930615598503</v>
      </c>
      <c r="EQ23" s="25">
        <v>18.421052631578949</v>
      </c>
      <c r="ER23" s="20">
        <v>15</v>
      </c>
      <c r="ES23" s="24">
        <v>23.966666666666665</v>
      </c>
      <c r="ET23" s="24">
        <v>24.261111111111109</v>
      </c>
      <c r="EU23" s="24">
        <v>9.3088888888888892</v>
      </c>
      <c r="EV23" s="24">
        <v>9.4666666666666668</v>
      </c>
      <c r="EW23" s="24">
        <v>570</v>
      </c>
      <c r="EX23" s="24">
        <v>490.53333333333336</v>
      </c>
      <c r="EY23" s="24">
        <v>17.666666666666668</v>
      </c>
      <c r="EZ23" s="24">
        <v>86.005333333333326</v>
      </c>
      <c r="FA23" s="24">
        <v>52.333333333333336</v>
      </c>
      <c r="FB23" s="24">
        <v>82.086106017816221</v>
      </c>
      <c r="FC23" s="24">
        <v>91.322847092159918</v>
      </c>
      <c r="FD23" s="24">
        <v>89.74116484389063</v>
      </c>
    </row>
    <row r="24" spans="1:160" x14ac:dyDescent="0.25">
      <c r="A24">
        <v>4058</v>
      </c>
      <c r="B24">
        <v>2</v>
      </c>
      <c r="C24">
        <v>31</v>
      </c>
      <c r="D24" s="1">
        <v>1.56</v>
      </c>
      <c r="E24">
        <v>50</v>
      </c>
      <c r="F24">
        <v>20.55</v>
      </c>
      <c r="G24">
        <v>2</v>
      </c>
      <c r="H24">
        <v>12</v>
      </c>
      <c r="I24">
        <v>24</v>
      </c>
      <c r="J24">
        <v>2</v>
      </c>
      <c r="K24">
        <v>1</v>
      </c>
      <c r="L24">
        <v>3</v>
      </c>
      <c r="M24" s="1">
        <v>24.98</v>
      </c>
      <c r="O24" s="1">
        <v>23</v>
      </c>
      <c r="P24" s="1">
        <v>-1.98</v>
      </c>
      <c r="Q24" s="1">
        <v>24.6</v>
      </c>
      <c r="R24" s="1">
        <v>-0.38</v>
      </c>
      <c r="S24" s="1">
        <v>22</v>
      </c>
      <c r="T24">
        <v>0</v>
      </c>
      <c r="U24">
        <v>2</v>
      </c>
      <c r="V24">
        <v>0</v>
      </c>
      <c r="W24">
        <v>2</v>
      </c>
      <c r="X24">
        <v>1</v>
      </c>
      <c r="Y24">
        <v>14</v>
      </c>
      <c r="Z24">
        <v>13</v>
      </c>
      <c r="AA24">
        <v>1</v>
      </c>
      <c r="AB24">
        <v>1</v>
      </c>
      <c r="AC24">
        <v>11</v>
      </c>
      <c r="AD24">
        <v>2</v>
      </c>
      <c r="AE24">
        <v>2</v>
      </c>
      <c r="AF24">
        <v>2</v>
      </c>
      <c r="AG24">
        <v>1</v>
      </c>
      <c r="AH24">
        <v>1</v>
      </c>
      <c r="AI24">
        <v>1</v>
      </c>
      <c r="AJ24">
        <v>0</v>
      </c>
      <c r="AK24">
        <v>1</v>
      </c>
      <c r="AL24">
        <v>8</v>
      </c>
      <c r="AM24">
        <v>2</v>
      </c>
      <c r="AN24">
        <v>8</v>
      </c>
      <c r="AO24">
        <v>2</v>
      </c>
      <c r="AP24">
        <v>2</v>
      </c>
      <c r="AQ24">
        <v>12</v>
      </c>
      <c r="AR24">
        <v>4</v>
      </c>
      <c r="AS24">
        <v>10</v>
      </c>
      <c r="AT24">
        <v>2</v>
      </c>
      <c r="AU24">
        <v>1</v>
      </c>
      <c r="AV24">
        <v>9</v>
      </c>
      <c r="AW24">
        <v>20</v>
      </c>
      <c r="AX24">
        <v>2</v>
      </c>
      <c r="AY24">
        <v>2</v>
      </c>
      <c r="AZ24">
        <v>12</v>
      </c>
      <c r="BA24">
        <v>2</v>
      </c>
      <c r="BB24">
        <v>1</v>
      </c>
      <c r="BC24">
        <v>2</v>
      </c>
      <c r="BD24">
        <v>1</v>
      </c>
      <c r="BE24">
        <v>1</v>
      </c>
      <c r="BF24">
        <v>1</v>
      </c>
      <c r="BG24">
        <v>0</v>
      </c>
      <c r="BH24">
        <v>1</v>
      </c>
      <c r="BI24">
        <v>7</v>
      </c>
      <c r="BJ24">
        <v>2</v>
      </c>
      <c r="BK24">
        <v>8</v>
      </c>
      <c r="BL24">
        <v>2</v>
      </c>
      <c r="BM24">
        <v>5</v>
      </c>
      <c r="BN24">
        <v>15</v>
      </c>
      <c r="BO24">
        <v>2</v>
      </c>
      <c r="BP24">
        <v>8</v>
      </c>
      <c r="BQ24">
        <v>3</v>
      </c>
      <c r="BR24">
        <v>2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4</v>
      </c>
      <c r="CB24">
        <v>2</v>
      </c>
      <c r="CC24">
        <v>2</v>
      </c>
      <c r="CD24">
        <v>6</v>
      </c>
      <c r="CE24">
        <v>2</v>
      </c>
      <c r="CF24">
        <v>2</v>
      </c>
      <c r="CG24">
        <v>25</v>
      </c>
      <c r="CH24">
        <v>19</v>
      </c>
      <c r="CI24">
        <v>15</v>
      </c>
      <c r="CJ24">
        <v>15</v>
      </c>
      <c r="CK24">
        <v>27</v>
      </c>
      <c r="CL24">
        <v>26</v>
      </c>
      <c r="CM24">
        <v>18</v>
      </c>
      <c r="CN24">
        <v>15</v>
      </c>
      <c r="CO24">
        <v>11</v>
      </c>
      <c r="CP24" s="26">
        <v>20</v>
      </c>
      <c r="CQ24" s="20">
        <v>7</v>
      </c>
      <c r="CR24" s="24">
        <v>24.238095238095237</v>
      </c>
      <c r="CS24" s="24">
        <v>25.011904761904759</v>
      </c>
      <c r="CT24" s="24">
        <v>8.3214285714285712</v>
      </c>
      <c r="CU24" s="24">
        <v>485</v>
      </c>
      <c r="CV24" s="24">
        <v>438.57142857142856</v>
      </c>
      <c r="CW24" s="24">
        <v>46.428571428571431</v>
      </c>
      <c r="CX24" s="24">
        <v>90.275260868988553</v>
      </c>
      <c r="CY24" s="25">
        <v>0</v>
      </c>
      <c r="CZ24" s="20">
        <v>7</v>
      </c>
      <c r="DA24" s="24">
        <v>24.595238095238095</v>
      </c>
      <c r="DB24" s="24">
        <v>24.683333333333334</v>
      </c>
      <c r="DC24" s="24">
        <v>8.3238095238095244</v>
      </c>
      <c r="DD24" s="24">
        <v>8.4642857142857135</v>
      </c>
      <c r="DE24" s="24">
        <v>472.14285714285717</v>
      </c>
      <c r="DF24" s="24">
        <v>422.28571428571428</v>
      </c>
      <c r="DG24" s="24">
        <v>5.2857142857142856</v>
      </c>
      <c r="DH24" s="24">
        <v>89.29285714285713</v>
      </c>
      <c r="DI24" s="24">
        <v>36.142857142857146</v>
      </c>
      <c r="DJ24" s="24">
        <v>89.92348742313402</v>
      </c>
      <c r="DK24" s="24">
        <v>91.654949811702394</v>
      </c>
      <c r="DL24" s="25">
        <v>91.120147417713</v>
      </c>
      <c r="DM24" s="20">
        <v>25</v>
      </c>
      <c r="DN24" s="24">
        <v>23.076000000000001</v>
      </c>
      <c r="DO24" s="24">
        <v>24.065999999999999</v>
      </c>
      <c r="DP24" s="24">
        <v>8.1546666666666674</v>
      </c>
      <c r="DQ24" s="24">
        <v>544.72</v>
      </c>
      <c r="DR24" s="24">
        <v>469</v>
      </c>
      <c r="DS24" s="24">
        <v>59.4</v>
      </c>
      <c r="DT24" s="24">
        <v>86.827710083923648</v>
      </c>
      <c r="DU24" s="25">
        <v>16.32</v>
      </c>
      <c r="DV24" s="20">
        <v>25</v>
      </c>
      <c r="DW24" s="24">
        <v>23.096</v>
      </c>
      <c r="DX24" s="24">
        <v>23.162666666666674</v>
      </c>
      <c r="DY24" s="24">
        <v>7.9666666666666659</v>
      </c>
      <c r="DZ24" s="24">
        <v>8.1546666666666674</v>
      </c>
      <c r="EA24" s="24">
        <v>543.52</v>
      </c>
      <c r="EB24" s="24">
        <v>471.88</v>
      </c>
      <c r="EC24" s="24">
        <v>471.88</v>
      </c>
      <c r="ED24" s="24">
        <v>87.001599999999996</v>
      </c>
      <c r="EE24" s="24">
        <v>56.36</v>
      </c>
      <c r="EF24" s="24">
        <v>87.863860718440151</v>
      </c>
      <c r="EG24" s="24">
        <v>87.923832959921342</v>
      </c>
      <c r="EH24" s="25">
        <v>89.489432299347243</v>
      </c>
      <c r="EI24" s="20">
        <v>24</v>
      </c>
      <c r="EJ24" s="24">
        <v>23.000694444444438</v>
      </c>
      <c r="EK24" s="24">
        <v>24.02847222222222</v>
      </c>
      <c r="EL24" s="24">
        <v>8.0847222222222221</v>
      </c>
      <c r="EM24" s="24">
        <v>545.04166666666663</v>
      </c>
      <c r="EN24" s="24">
        <v>471.79166666666669</v>
      </c>
      <c r="EO24" s="24">
        <v>61.666666666666664</v>
      </c>
      <c r="EP24" s="24">
        <v>87.326350704273352</v>
      </c>
      <c r="EQ24" s="25">
        <v>11.583333333333334</v>
      </c>
      <c r="ER24" s="20">
        <v>24</v>
      </c>
      <c r="ES24" s="24">
        <v>23.021527777777774</v>
      </c>
      <c r="ET24" s="24">
        <v>23.085416666666671</v>
      </c>
      <c r="EU24" s="24">
        <v>7.8909722222222216</v>
      </c>
      <c r="EV24" s="24">
        <v>8.0847222222222221</v>
      </c>
      <c r="EW24" s="24">
        <v>543.79166666666663</v>
      </c>
      <c r="EX24" s="24">
        <v>472.79166666666669</v>
      </c>
      <c r="EY24" s="24">
        <v>3.8333333333333335</v>
      </c>
      <c r="EZ24" s="24">
        <v>87.135000000000005</v>
      </c>
      <c r="FA24" s="24">
        <v>55.541666666666664</v>
      </c>
      <c r="FB24" s="24">
        <v>87.707350259548363</v>
      </c>
      <c r="FC24" s="24">
        <v>88.537977769005593</v>
      </c>
      <c r="FD24" s="24">
        <v>89.540318794129192</v>
      </c>
    </row>
    <row r="25" spans="1:160" x14ac:dyDescent="0.25">
      <c r="A25">
        <v>4062</v>
      </c>
      <c r="B25">
        <v>2</v>
      </c>
      <c r="C25">
        <v>30</v>
      </c>
      <c r="D25" s="1">
        <v>1.62</v>
      </c>
      <c r="E25">
        <v>83</v>
      </c>
      <c r="F25">
        <v>31.63</v>
      </c>
      <c r="G25">
        <v>1</v>
      </c>
      <c r="H25">
        <v>11</v>
      </c>
      <c r="I25">
        <v>23</v>
      </c>
      <c r="J25">
        <v>2</v>
      </c>
      <c r="K25">
        <v>1</v>
      </c>
      <c r="L25">
        <v>3</v>
      </c>
      <c r="M25" s="1">
        <v>22.58</v>
      </c>
      <c r="N25">
        <v>21.58</v>
      </c>
      <c r="O25" s="1">
        <v>22</v>
      </c>
      <c r="P25" s="1">
        <v>-0.57999999999999996</v>
      </c>
      <c r="Q25" s="1">
        <v>23.639999999999997</v>
      </c>
      <c r="R25" s="1">
        <v>1.06</v>
      </c>
      <c r="S25" s="1">
        <v>21</v>
      </c>
      <c r="T25">
        <v>0</v>
      </c>
      <c r="U25">
        <v>2</v>
      </c>
      <c r="V25">
        <v>0</v>
      </c>
      <c r="W25">
        <v>14</v>
      </c>
      <c r="X25">
        <v>2</v>
      </c>
      <c r="Y25">
        <v>8</v>
      </c>
      <c r="Z25">
        <v>28</v>
      </c>
      <c r="AA25">
        <v>2</v>
      </c>
      <c r="AB25">
        <v>2</v>
      </c>
      <c r="AC25">
        <v>14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1</v>
      </c>
      <c r="AJ25">
        <v>1</v>
      </c>
      <c r="AK25">
        <v>3</v>
      </c>
      <c r="AL25">
        <v>13</v>
      </c>
      <c r="AM25">
        <v>2</v>
      </c>
      <c r="AN25">
        <v>8</v>
      </c>
      <c r="AO25">
        <v>2</v>
      </c>
      <c r="AP25">
        <v>7</v>
      </c>
      <c r="AQ25">
        <v>17</v>
      </c>
      <c r="AR25">
        <v>0</v>
      </c>
      <c r="AS25">
        <v>20</v>
      </c>
      <c r="AT25">
        <v>14</v>
      </c>
      <c r="AU25">
        <v>2</v>
      </c>
      <c r="AV25">
        <v>11</v>
      </c>
      <c r="AW25">
        <v>26</v>
      </c>
      <c r="AX25">
        <v>2</v>
      </c>
      <c r="AY25">
        <v>2</v>
      </c>
      <c r="AZ25">
        <v>16</v>
      </c>
      <c r="BA25">
        <v>3</v>
      </c>
      <c r="BB25">
        <v>2</v>
      </c>
      <c r="BC25">
        <v>3</v>
      </c>
      <c r="BD25">
        <v>1</v>
      </c>
      <c r="BE25">
        <v>3</v>
      </c>
      <c r="BF25">
        <v>1</v>
      </c>
      <c r="BG25">
        <v>0</v>
      </c>
      <c r="BH25">
        <v>3</v>
      </c>
      <c r="BI25">
        <v>13</v>
      </c>
      <c r="BJ25">
        <v>2</v>
      </c>
      <c r="BK25">
        <v>8</v>
      </c>
      <c r="BL25">
        <v>2</v>
      </c>
      <c r="BM25">
        <v>7</v>
      </c>
      <c r="BN25">
        <v>17</v>
      </c>
      <c r="BO25">
        <v>0</v>
      </c>
      <c r="BP25">
        <v>20</v>
      </c>
      <c r="BQ25">
        <v>4</v>
      </c>
      <c r="BR25">
        <v>2</v>
      </c>
      <c r="BS25">
        <v>2</v>
      </c>
      <c r="BT25">
        <v>4</v>
      </c>
      <c r="BU25">
        <v>2</v>
      </c>
      <c r="BV25">
        <v>2</v>
      </c>
      <c r="BW25">
        <v>4</v>
      </c>
      <c r="BX25">
        <v>2</v>
      </c>
      <c r="BY25">
        <v>2</v>
      </c>
      <c r="BZ25">
        <v>2</v>
      </c>
      <c r="CA25">
        <v>1</v>
      </c>
      <c r="CB25">
        <v>1</v>
      </c>
      <c r="CC25">
        <v>13</v>
      </c>
      <c r="CD25">
        <v>1</v>
      </c>
      <c r="CE25">
        <v>1</v>
      </c>
      <c r="CF25">
        <v>1</v>
      </c>
      <c r="CG25">
        <v>31</v>
      </c>
      <c r="CH25">
        <v>34</v>
      </c>
      <c r="CI25">
        <v>31</v>
      </c>
      <c r="CJ25">
        <v>33</v>
      </c>
      <c r="CK25">
        <v>32</v>
      </c>
      <c r="CL25">
        <v>34</v>
      </c>
      <c r="CM25">
        <v>36</v>
      </c>
      <c r="CN25">
        <v>34</v>
      </c>
      <c r="CO25">
        <v>36</v>
      </c>
      <c r="CP25" s="26">
        <v>34</v>
      </c>
      <c r="CQ25" s="20">
        <v>7</v>
      </c>
      <c r="CR25" s="24">
        <v>23.811904761904763</v>
      </c>
      <c r="CS25" s="24">
        <v>24.097619047619048</v>
      </c>
      <c r="CT25" s="24">
        <v>6.5476190476190492</v>
      </c>
      <c r="CU25" s="24">
        <v>404.14285714285717</v>
      </c>
      <c r="CV25" s="24">
        <v>373.42857142857144</v>
      </c>
      <c r="CW25" s="24">
        <v>17.142857142857142</v>
      </c>
      <c r="CX25" s="24">
        <v>92.500649393939881</v>
      </c>
      <c r="CY25" s="25">
        <v>13.571428571428571</v>
      </c>
      <c r="CZ25" s="20">
        <v>7</v>
      </c>
      <c r="DA25" s="24">
        <v>23.642857142857142</v>
      </c>
      <c r="DB25" s="24">
        <v>23.704761904761906</v>
      </c>
      <c r="DC25" s="24">
        <v>7.0214285714285714</v>
      </c>
      <c r="DD25" s="24">
        <v>7.1904761904761907</v>
      </c>
      <c r="DE25" s="24">
        <v>452.85714285714283</v>
      </c>
      <c r="DF25" s="24">
        <v>399.14285714285717</v>
      </c>
      <c r="DG25" s="24">
        <v>3.7142857142857144</v>
      </c>
      <c r="DH25" s="24">
        <v>88.251428571428576</v>
      </c>
      <c r="DI25" s="24">
        <v>39.857142857142854</v>
      </c>
      <c r="DJ25" s="24">
        <v>89.015640460767457</v>
      </c>
      <c r="DK25" s="24">
        <v>92.713526994127008</v>
      </c>
      <c r="DL25" s="25">
        <v>90.155388310008149</v>
      </c>
      <c r="DM25" s="20">
        <v>24</v>
      </c>
      <c r="DN25" s="24">
        <v>22.243055555555554</v>
      </c>
      <c r="DO25" s="24">
        <v>23.740277777777777</v>
      </c>
      <c r="DP25" s="24">
        <v>7.8402777777777786</v>
      </c>
      <c r="DQ25" s="24">
        <v>575.83333333333337</v>
      </c>
      <c r="DR25" s="24">
        <v>470.58333333333331</v>
      </c>
      <c r="DS25" s="24">
        <v>89.833333333333329</v>
      </c>
      <c r="DT25" s="24">
        <v>81.871151158404459</v>
      </c>
      <c r="DU25" s="25">
        <v>15.416666666666666</v>
      </c>
      <c r="DV25" s="20">
        <v>24</v>
      </c>
      <c r="DW25" s="24">
        <v>22.958333333333332</v>
      </c>
      <c r="DX25" s="24">
        <v>23.434027777777782</v>
      </c>
      <c r="DY25" s="24">
        <v>7.65486111111111</v>
      </c>
      <c r="DZ25" s="24">
        <v>7.8333333333333348</v>
      </c>
      <c r="EA25" s="24">
        <v>532.5</v>
      </c>
      <c r="EB25" s="24">
        <v>429.70833333333331</v>
      </c>
      <c r="EC25" s="24">
        <v>429.70833333333331</v>
      </c>
      <c r="ED25" s="24">
        <v>80.537083333333314</v>
      </c>
      <c r="EE25" s="24">
        <v>63.541666666666664</v>
      </c>
      <c r="EF25" s="24">
        <v>82.45217496914303</v>
      </c>
      <c r="EG25" s="24">
        <v>88.158510940125851</v>
      </c>
      <c r="EH25" s="25">
        <v>84.025867304575868</v>
      </c>
      <c r="EI25" s="20">
        <v>23</v>
      </c>
      <c r="EJ25" s="24">
        <v>22.188405797101449</v>
      </c>
      <c r="EK25" s="24">
        <v>23.721739130434784</v>
      </c>
      <c r="EL25" s="24">
        <v>7.8985507246376816</v>
      </c>
      <c r="EM25" s="24">
        <v>582.60869565217388</v>
      </c>
      <c r="EN25" s="24">
        <v>474.95652173913044</v>
      </c>
      <c r="EO25" s="24">
        <v>92</v>
      </c>
      <c r="EP25" s="24">
        <v>81.600538682889933</v>
      </c>
      <c r="EQ25" s="25">
        <v>15.652173913043478</v>
      </c>
      <c r="ER25" s="20">
        <v>14</v>
      </c>
      <c r="ES25" s="24">
        <v>22.38095238095238</v>
      </c>
      <c r="ET25" s="24">
        <v>22.897619047619049</v>
      </c>
      <c r="EU25" s="24">
        <v>7.6035714285714286</v>
      </c>
      <c r="EV25" s="24">
        <v>7.761904761904761</v>
      </c>
      <c r="EW25" s="24">
        <v>562.85714285714289</v>
      </c>
      <c r="EX25" s="24">
        <v>455.64285714285717</v>
      </c>
      <c r="EY25" s="24">
        <v>31</v>
      </c>
      <c r="EZ25" s="24">
        <v>80.670714285714297</v>
      </c>
      <c r="FA25" s="24">
        <v>66.714285714285708</v>
      </c>
      <c r="FB25" s="24">
        <v>81.412048691185291</v>
      </c>
      <c r="FC25" s="24">
        <v>88.440260500825872</v>
      </c>
      <c r="FD25" s="24">
        <v>85.201249878851485</v>
      </c>
    </row>
    <row r="26" spans="1:160" x14ac:dyDescent="0.25">
      <c r="A26">
        <v>4063</v>
      </c>
      <c r="B26">
        <v>2</v>
      </c>
      <c r="C26">
        <v>35</v>
      </c>
      <c r="D26" s="1">
        <v>1.73</v>
      </c>
      <c r="E26">
        <v>81</v>
      </c>
      <c r="F26">
        <v>27.06</v>
      </c>
      <c r="G26">
        <v>2</v>
      </c>
      <c r="H26">
        <v>17</v>
      </c>
      <c r="I26">
        <v>20</v>
      </c>
      <c r="J26">
        <v>1</v>
      </c>
      <c r="K26">
        <v>2</v>
      </c>
      <c r="L26">
        <v>3</v>
      </c>
      <c r="M26" s="1">
        <v>21.97</v>
      </c>
      <c r="N26">
        <v>21.25</v>
      </c>
      <c r="O26" s="1">
        <v>22</v>
      </c>
      <c r="P26" s="1">
        <v>0.03</v>
      </c>
      <c r="Q26" s="1">
        <v>24.18</v>
      </c>
      <c r="R26" s="1">
        <v>2.21</v>
      </c>
      <c r="S26" s="1">
        <v>21</v>
      </c>
      <c r="T26">
        <v>0</v>
      </c>
      <c r="U26">
        <v>2</v>
      </c>
      <c r="V26">
        <v>0</v>
      </c>
      <c r="W26">
        <v>9</v>
      </c>
      <c r="X26">
        <v>1</v>
      </c>
      <c r="Y26">
        <v>8</v>
      </c>
      <c r="Z26">
        <v>14</v>
      </c>
      <c r="AA26">
        <v>2</v>
      </c>
      <c r="AB26">
        <v>1</v>
      </c>
      <c r="AC26">
        <v>20</v>
      </c>
      <c r="AD26">
        <v>3</v>
      </c>
      <c r="AE26">
        <v>2</v>
      </c>
      <c r="AF26">
        <v>3</v>
      </c>
      <c r="AG26">
        <v>1</v>
      </c>
      <c r="AH26">
        <v>1</v>
      </c>
      <c r="AI26">
        <v>1</v>
      </c>
      <c r="AJ26">
        <v>0</v>
      </c>
      <c r="AK26">
        <v>2</v>
      </c>
      <c r="AL26">
        <v>10</v>
      </c>
      <c r="AM26">
        <v>2</v>
      </c>
      <c r="AN26">
        <v>6</v>
      </c>
      <c r="AO26">
        <v>5</v>
      </c>
      <c r="AP26">
        <v>5</v>
      </c>
      <c r="AQ26">
        <v>16</v>
      </c>
      <c r="AR26">
        <v>3</v>
      </c>
      <c r="AS26">
        <v>20</v>
      </c>
      <c r="AT26">
        <v>5</v>
      </c>
      <c r="AU26">
        <v>1</v>
      </c>
      <c r="AV26">
        <v>17</v>
      </c>
      <c r="AW26">
        <v>14</v>
      </c>
      <c r="AX26">
        <v>2</v>
      </c>
      <c r="AY26">
        <v>1</v>
      </c>
      <c r="AZ26">
        <v>23</v>
      </c>
      <c r="BA26">
        <v>4</v>
      </c>
      <c r="BB26">
        <v>3</v>
      </c>
      <c r="BC26">
        <v>3</v>
      </c>
      <c r="BD26">
        <v>0</v>
      </c>
      <c r="BE26">
        <v>1</v>
      </c>
      <c r="BF26">
        <v>2</v>
      </c>
      <c r="BG26">
        <v>0</v>
      </c>
      <c r="BH26">
        <v>2</v>
      </c>
      <c r="BI26">
        <v>11</v>
      </c>
      <c r="BJ26">
        <v>2</v>
      </c>
      <c r="BK26">
        <v>8</v>
      </c>
      <c r="BL26">
        <v>6</v>
      </c>
      <c r="BM26">
        <v>8</v>
      </c>
      <c r="BN26">
        <v>22</v>
      </c>
      <c r="BO26">
        <v>3</v>
      </c>
      <c r="BP26">
        <v>30</v>
      </c>
      <c r="BQ26">
        <v>4</v>
      </c>
      <c r="BR26">
        <v>2</v>
      </c>
      <c r="BS26">
        <v>2</v>
      </c>
      <c r="BT26">
        <v>2</v>
      </c>
      <c r="BU26">
        <v>1</v>
      </c>
      <c r="BV26">
        <v>1</v>
      </c>
      <c r="BW26">
        <v>2</v>
      </c>
      <c r="BX26">
        <v>1</v>
      </c>
      <c r="BY26">
        <v>1</v>
      </c>
      <c r="BZ26">
        <v>1</v>
      </c>
      <c r="CA26">
        <v>3</v>
      </c>
      <c r="CB26">
        <v>1</v>
      </c>
      <c r="CC26">
        <v>5</v>
      </c>
      <c r="CD26">
        <v>3</v>
      </c>
      <c r="CE26">
        <v>1</v>
      </c>
      <c r="CF26">
        <v>2</v>
      </c>
      <c r="CG26">
        <v>31</v>
      </c>
      <c r="CH26">
        <v>30</v>
      </c>
      <c r="CI26">
        <v>28</v>
      </c>
      <c r="CJ26">
        <v>28</v>
      </c>
      <c r="CK26">
        <v>28</v>
      </c>
      <c r="CL26">
        <v>38</v>
      </c>
      <c r="CM26">
        <v>26</v>
      </c>
      <c r="CN26">
        <v>28</v>
      </c>
      <c r="CO26">
        <v>29</v>
      </c>
      <c r="CP26" s="26">
        <v>31</v>
      </c>
      <c r="CQ26" s="20">
        <v>7</v>
      </c>
      <c r="CR26" s="24">
        <v>23.75</v>
      </c>
      <c r="CS26" s="24">
        <v>25.071428571428573</v>
      </c>
      <c r="CT26" s="24">
        <v>9.3928571428571423</v>
      </c>
      <c r="CU26" s="24">
        <v>578.57142857142856</v>
      </c>
      <c r="CV26" s="24">
        <v>488.57142857142856</v>
      </c>
      <c r="CW26" s="24">
        <v>79.285714285714292</v>
      </c>
      <c r="CX26" s="24">
        <v>84.414722704196393</v>
      </c>
      <c r="CY26" s="25">
        <v>10.714285714285714</v>
      </c>
      <c r="CZ26" s="20">
        <v>7</v>
      </c>
      <c r="DA26" s="24">
        <v>24.178571428571427</v>
      </c>
      <c r="DB26" s="24">
        <v>25.43095238095238</v>
      </c>
      <c r="DC26" s="24">
        <v>9.1809523809523803</v>
      </c>
      <c r="DD26" s="24">
        <v>9.3928571428571423</v>
      </c>
      <c r="DE26" s="24">
        <v>552.85714285714289</v>
      </c>
      <c r="DF26" s="24">
        <v>428.57142857142856</v>
      </c>
      <c r="DG26" s="24">
        <v>75.142857142857139</v>
      </c>
      <c r="DH26" s="24">
        <v>77.490000000000009</v>
      </c>
      <c r="DI26" s="24">
        <v>36.428571428571431</v>
      </c>
      <c r="DJ26" s="24">
        <v>73.329935212951568</v>
      </c>
      <c r="DK26" s="24">
        <v>93.548498751727408</v>
      </c>
      <c r="DL26" s="25">
        <v>90.034068080673563</v>
      </c>
      <c r="DM26" s="20">
        <v>17</v>
      </c>
      <c r="DN26" s="24">
        <v>22.838235294117649</v>
      </c>
      <c r="DO26" s="24">
        <v>23.735294117647058</v>
      </c>
      <c r="DP26" s="24">
        <v>8.25</v>
      </c>
      <c r="DQ26" s="24">
        <v>564.70588235294122</v>
      </c>
      <c r="DR26" s="24">
        <v>504.29411764705884</v>
      </c>
      <c r="DS26" s="24">
        <v>53.823529411764703</v>
      </c>
      <c r="DT26" s="24">
        <v>89.512167406917044</v>
      </c>
      <c r="DU26" s="25">
        <v>6.5882352941176467</v>
      </c>
      <c r="DV26" s="20">
        <v>17</v>
      </c>
      <c r="DW26" s="24">
        <v>23.073529411764707</v>
      </c>
      <c r="DX26" s="24">
        <v>23.696078431372548</v>
      </c>
      <c r="DY26" s="24">
        <v>7.7823529411764714</v>
      </c>
      <c r="DZ26" s="24">
        <v>8.014705882352942</v>
      </c>
      <c r="EA26" s="24">
        <v>536.47058823529414</v>
      </c>
      <c r="EB26" s="24">
        <v>449.1764705882353</v>
      </c>
      <c r="EC26" s="24">
        <v>449.1764705882353</v>
      </c>
      <c r="ED26" s="24">
        <v>83.986470588235292</v>
      </c>
      <c r="EE26" s="24">
        <v>36</v>
      </c>
      <c r="EF26" s="24">
        <v>82.528169998897411</v>
      </c>
      <c r="EG26" s="24">
        <v>95.047269771085112</v>
      </c>
      <c r="EH26" s="25">
        <v>91.006572989669749</v>
      </c>
      <c r="EI26" s="20">
        <v>11</v>
      </c>
      <c r="EJ26" s="24">
        <v>22.363636363636363</v>
      </c>
      <c r="EK26" s="24">
        <v>23.431818181818183</v>
      </c>
      <c r="EL26" s="24">
        <v>8.0227272727272734</v>
      </c>
      <c r="EM26" s="24">
        <v>579.5454545454545</v>
      </c>
      <c r="EN26" s="24">
        <v>511.27272727272725</v>
      </c>
      <c r="EO26" s="24">
        <v>64.090909090909093</v>
      </c>
      <c r="EP26" s="24">
        <v>88.386451233149856</v>
      </c>
      <c r="EQ26" s="25">
        <v>4.1818181818181817</v>
      </c>
      <c r="ER26" s="20">
        <v>11</v>
      </c>
      <c r="ES26" s="24">
        <v>22.65909090909091</v>
      </c>
      <c r="ET26" s="24">
        <v>23.434848484848484</v>
      </c>
      <c r="EU26" s="24">
        <v>7.5636363636363635</v>
      </c>
      <c r="EV26" s="24">
        <v>7.7954545454545459</v>
      </c>
      <c r="EW26" s="24">
        <v>548.18181818181813</v>
      </c>
      <c r="EX26" s="24">
        <v>455.27272727272725</v>
      </c>
      <c r="EY26" s="24">
        <v>46.545454545454547</v>
      </c>
      <c r="EZ26" s="24">
        <v>83.240909090909099</v>
      </c>
      <c r="FA26" s="24">
        <v>32.454545454545453</v>
      </c>
      <c r="FB26" s="24">
        <v>83.10078420767087</v>
      </c>
      <c r="FC26" s="24">
        <v>94.990586913829375</v>
      </c>
      <c r="FD26" s="24">
        <v>90.910306048039175</v>
      </c>
    </row>
    <row r="27" spans="1:160" x14ac:dyDescent="0.25">
      <c r="A27">
        <v>4064</v>
      </c>
      <c r="B27">
        <v>1</v>
      </c>
      <c r="C27">
        <v>41</v>
      </c>
      <c r="D27" s="1">
        <v>1.66</v>
      </c>
      <c r="E27">
        <v>63</v>
      </c>
      <c r="F27">
        <v>22.86</v>
      </c>
      <c r="G27">
        <v>2</v>
      </c>
      <c r="H27">
        <v>9</v>
      </c>
      <c r="I27">
        <v>21</v>
      </c>
      <c r="J27">
        <v>1</v>
      </c>
      <c r="K27">
        <v>2</v>
      </c>
      <c r="L27">
        <v>3</v>
      </c>
      <c r="M27" s="1">
        <v>22.82</v>
      </c>
      <c r="N27">
        <v>21.33</v>
      </c>
      <c r="O27" s="1">
        <v>22</v>
      </c>
      <c r="P27" s="1">
        <v>-0.82</v>
      </c>
      <c r="S27" s="1">
        <v>21</v>
      </c>
      <c r="T27">
        <v>2</v>
      </c>
      <c r="U27">
        <v>2</v>
      </c>
      <c r="V27">
        <v>0</v>
      </c>
      <c r="W27">
        <v>10</v>
      </c>
      <c r="X27">
        <v>2</v>
      </c>
      <c r="Y27">
        <v>3</v>
      </c>
      <c r="Z27">
        <v>22</v>
      </c>
      <c r="AA27">
        <v>2</v>
      </c>
      <c r="AB27">
        <v>2</v>
      </c>
      <c r="AC27">
        <v>15</v>
      </c>
      <c r="AD27">
        <v>3</v>
      </c>
      <c r="AE27">
        <v>2</v>
      </c>
      <c r="AF27">
        <v>1</v>
      </c>
      <c r="AG27">
        <v>1</v>
      </c>
      <c r="AH27">
        <v>0</v>
      </c>
      <c r="AI27">
        <v>2</v>
      </c>
      <c r="AJ27">
        <v>0</v>
      </c>
      <c r="AK27">
        <v>2</v>
      </c>
      <c r="AL27">
        <v>8</v>
      </c>
      <c r="AM27">
        <v>2</v>
      </c>
      <c r="AN27">
        <v>8</v>
      </c>
      <c r="AO27">
        <v>8</v>
      </c>
      <c r="AP27">
        <v>6</v>
      </c>
      <c r="AQ27">
        <v>22</v>
      </c>
      <c r="AR27">
        <v>2</v>
      </c>
      <c r="AS27">
        <v>10</v>
      </c>
      <c r="AT27">
        <v>9</v>
      </c>
      <c r="AU27">
        <v>1</v>
      </c>
      <c r="AV27">
        <v>6</v>
      </c>
      <c r="AW27">
        <v>6</v>
      </c>
      <c r="AX27">
        <v>1</v>
      </c>
      <c r="AY27">
        <v>1</v>
      </c>
      <c r="AZ27">
        <v>13</v>
      </c>
      <c r="BA27">
        <v>2</v>
      </c>
      <c r="BB27">
        <v>1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4</v>
      </c>
      <c r="BJ27">
        <v>1</v>
      </c>
      <c r="BK27">
        <v>3</v>
      </c>
      <c r="BL27">
        <v>3</v>
      </c>
      <c r="BM27">
        <v>3</v>
      </c>
      <c r="BN27">
        <v>9</v>
      </c>
      <c r="BO27">
        <v>0</v>
      </c>
      <c r="BP27">
        <v>0</v>
      </c>
      <c r="BQ27">
        <v>4</v>
      </c>
      <c r="BR27">
        <v>2</v>
      </c>
      <c r="BS27">
        <v>2</v>
      </c>
      <c r="BT27">
        <v>1</v>
      </c>
      <c r="BU27">
        <v>1</v>
      </c>
      <c r="BV27">
        <v>1</v>
      </c>
      <c r="BW27">
        <v>2</v>
      </c>
      <c r="BX27">
        <v>1</v>
      </c>
      <c r="BY27">
        <v>1</v>
      </c>
      <c r="BZ27">
        <v>1</v>
      </c>
      <c r="CA27">
        <v>3</v>
      </c>
      <c r="CB27">
        <v>1</v>
      </c>
      <c r="CC27">
        <v>5</v>
      </c>
      <c r="CD27">
        <v>6</v>
      </c>
      <c r="CE27">
        <v>2</v>
      </c>
      <c r="CF27">
        <v>2</v>
      </c>
      <c r="CG27">
        <v>27</v>
      </c>
      <c r="CH27">
        <v>25</v>
      </c>
      <c r="CI27">
        <v>21</v>
      </c>
      <c r="CJ27">
        <v>21</v>
      </c>
      <c r="CK27">
        <v>25</v>
      </c>
      <c r="CL27">
        <v>32</v>
      </c>
      <c r="CM27">
        <v>16</v>
      </c>
      <c r="CN27">
        <v>16</v>
      </c>
      <c r="CO27">
        <v>15.5</v>
      </c>
      <c r="CP27" s="26">
        <v>15</v>
      </c>
      <c r="CQ27" s="20">
        <v>7</v>
      </c>
      <c r="CR27" s="24">
        <v>25.599999999999998</v>
      </c>
      <c r="CS27" s="24">
        <v>25.778571428571428</v>
      </c>
      <c r="CT27" s="24">
        <v>8.2261904761904763</v>
      </c>
      <c r="CU27" s="24">
        <v>397.57142857142856</v>
      </c>
      <c r="CV27" s="24">
        <v>381.42857142857144</v>
      </c>
      <c r="CW27" s="24">
        <v>10.714285714285714</v>
      </c>
      <c r="CX27" s="24">
        <v>95.791738692792975</v>
      </c>
      <c r="CY27" s="25">
        <v>5.4285714285714288</v>
      </c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5"/>
      <c r="DM27" s="20">
        <v>24</v>
      </c>
      <c r="DN27" s="24">
        <v>22.583333333333332</v>
      </c>
      <c r="DO27" s="24">
        <v>22.871527777777775</v>
      </c>
      <c r="DP27" s="24">
        <v>7.3548611111111102</v>
      </c>
      <c r="DQ27" s="24">
        <v>526.29166666666663</v>
      </c>
      <c r="DR27" s="24">
        <v>492.45833333333331</v>
      </c>
      <c r="DS27" s="24">
        <v>17.291666666666668</v>
      </c>
      <c r="DT27" s="24">
        <v>93.566763776707418</v>
      </c>
      <c r="DU27" s="25">
        <v>16.541666666666668</v>
      </c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5"/>
      <c r="EI27" s="20">
        <v>21</v>
      </c>
      <c r="EJ27" s="24">
        <v>22.44206349206349</v>
      </c>
      <c r="EK27" s="24">
        <v>22.739682539682537</v>
      </c>
      <c r="EL27" s="24">
        <v>7.3817460317460322</v>
      </c>
      <c r="EM27" s="24">
        <v>536.38095238095241</v>
      </c>
      <c r="EN27" s="24">
        <v>504.23809523809524</v>
      </c>
      <c r="EO27" s="24">
        <v>17.857142857142858</v>
      </c>
      <c r="EP27" s="24">
        <v>94.037470563083914</v>
      </c>
      <c r="EQ27" s="25">
        <v>14.285714285714286</v>
      </c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</row>
    <row r="28" spans="1:160" x14ac:dyDescent="0.25">
      <c r="A28">
        <v>4066</v>
      </c>
      <c r="B28">
        <v>1</v>
      </c>
      <c r="C28">
        <v>44</v>
      </c>
      <c r="D28" s="1">
        <v>1.77</v>
      </c>
      <c r="E28">
        <v>92</v>
      </c>
      <c r="F28">
        <v>29.37</v>
      </c>
      <c r="G28">
        <v>1</v>
      </c>
      <c r="H28">
        <v>17</v>
      </c>
      <c r="I28">
        <v>19</v>
      </c>
      <c r="J28">
        <v>1</v>
      </c>
      <c r="K28">
        <v>3</v>
      </c>
      <c r="L28">
        <v>3</v>
      </c>
      <c r="M28" s="1">
        <v>20.88</v>
      </c>
      <c r="O28" s="1">
        <v>21.5</v>
      </c>
      <c r="P28" s="1">
        <v>0.62</v>
      </c>
      <c r="Q28" s="1">
        <v>22.939999999999998</v>
      </c>
      <c r="R28" s="1">
        <v>2.06</v>
      </c>
      <c r="S28" s="1">
        <v>20.5</v>
      </c>
      <c r="T28">
        <v>0</v>
      </c>
      <c r="U28">
        <v>2</v>
      </c>
      <c r="V28">
        <v>0</v>
      </c>
      <c r="W28">
        <v>8</v>
      </c>
      <c r="X28">
        <v>1</v>
      </c>
      <c r="Y28">
        <v>11</v>
      </c>
      <c r="Z28">
        <v>29</v>
      </c>
      <c r="AA28">
        <v>2</v>
      </c>
      <c r="AB28">
        <v>2</v>
      </c>
      <c r="AC28">
        <v>16</v>
      </c>
      <c r="AD28">
        <v>3</v>
      </c>
      <c r="AE28">
        <v>3</v>
      </c>
      <c r="AF28">
        <v>3</v>
      </c>
      <c r="AG28">
        <v>0</v>
      </c>
      <c r="AH28">
        <v>0</v>
      </c>
      <c r="AI28">
        <v>1</v>
      </c>
      <c r="AJ28">
        <v>0</v>
      </c>
      <c r="AK28">
        <v>3</v>
      </c>
      <c r="AL28">
        <v>10</v>
      </c>
      <c r="AM28">
        <v>2</v>
      </c>
      <c r="AN28">
        <v>7</v>
      </c>
      <c r="AO28">
        <v>4</v>
      </c>
      <c r="AP28">
        <v>7</v>
      </c>
      <c r="AQ28">
        <v>18</v>
      </c>
      <c r="AR28">
        <v>4</v>
      </c>
      <c r="AS28">
        <v>25</v>
      </c>
      <c r="AT28">
        <v>9</v>
      </c>
      <c r="AU28">
        <v>1</v>
      </c>
      <c r="AV28">
        <v>11</v>
      </c>
      <c r="AW28">
        <v>23</v>
      </c>
      <c r="AX28">
        <v>2</v>
      </c>
      <c r="AY28">
        <v>2</v>
      </c>
      <c r="AZ28">
        <v>15</v>
      </c>
      <c r="BA28">
        <v>3</v>
      </c>
      <c r="BB28">
        <v>3</v>
      </c>
      <c r="BC28">
        <v>3</v>
      </c>
      <c r="BD28">
        <v>2</v>
      </c>
      <c r="BE28">
        <v>0</v>
      </c>
      <c r="BF28">
        <v>1</v>
      </c>
      <c r="BG28">
        <v>0</v>
      </c>
      <c r="BH28">
        <v>1</v>
      </c>
      <c r="BI28">
        <v>10</v>
      </c>
      <c r="BJ28">
        <v>2</v>
      </c>
      <c r="BK28">
        <v>7</v>
      </c>
      <c r="BL28">
        <v>5</v>
      </c>
      <c r="BM28">
        <v>7</v>
      </c>
      <c r="BN28">
        <v>19</v>
      </c>
      <c r="BO28">
        <v>5</v>
      </c>
      <c r="BP28">
        <v>20</v>
      </c>
      <c r="BQ28">
        <v>5</v>
      </c>
      <c r="BR28">
        <v>2</v>
      </c>
      <c r="BS28">
        <v>2</v>
      </c>
      <c r="BT28">
        <v>4</v>
      </c>
      <c r="BU28">
        <v>2</v>
      </c>
      <c r="BV28">
        <v>2</v>
      </c>
      <c r="BW28">
        <v>4</v>
      </c>
      <c r="BX28">
        <v>2</v>
      </c>
      <c r="BY28">
        <v>2</v>
      </c>
      <c r="BZ28">
        <v>2</v>
      </c>
      <c r="CA28">
        <v>1</v>
      </c>
      <c r="CB28">
        <v>2</v>
      </c>
      <c r="CC28">
        <v>14</v>
      </c>
      <c r="CD28">
        <v>2</v>
      </c>
      <c r="CE28">
        <v>1</v>
      </c>
      <c r="CF28">
        <v>1</v>
      </c>
      <c r="CG28">
        <v>31</v>
      </c>
      <c r="CH28">
        <v>26</v>
      </c>
      <c r="CI28">
        <v>26</v>
      </c>
      <c r="CJ28">
        <v>24</v>
      </c>
      <c r="CK28">
        <v>32</v>
      </c>
      <c r="CL28">
        <v>32</v>
      </c>
      <c r="CM28">
        <v>19</v>
      </c>
      <c r="CN28">
        <v>18</v>
      </c>
      <c r="CO28">
        <v>16</v>
      </c>
      <c r="CP28" s="26">
        <v>28</v>
      </c>
      <c r="CQ28" s="20">
        <v>7</v>
      </c>
      <c r="CR28" s="24">
        <v>26.357142857142858</v>
      </c>
      <c r="CS28" s="24">
        <v>26.357142857142858</v>
      </c>
      <c r="CT28" s="24">
        <v>10.166666666666666</v>
      </c>
      <c r="CU28" s="24">
        <v>468.57142857142856</v>
      </c>
      <c r="CV28" s="24">
        <v>458.57142857142856</v>
      </c>
      <c r="CW28" s="24">
        <v>0</v>
      </c>
      <c r="CX28" s="24">
        <v>97.801813043851965</v>
      </c>
      <c r="CY28" s="25">
        <v>10</v>
      </c>
      <c r="CZ28" s="20">
        <v>7</v>
      </c>
      <c r="DA28" s="24">
        <v>22.940476190476193</v>
      </c>
      <c r="DB28" s="24">
        <v>24.609523809523811</v>
      </c>
      <c r="DC28" s="24">
        <v>9.8476190476190482</v>
      </c>
      <c r="DD28" s="24">
        <v>10.023809523809522</v>
      </c>
      <c r="DE28" s="24">
        <v>665</v>
      </c>
      <c r="DF28" s="24">
        <v>500</v>
      </c>
      <c r="DG28" s="24">
        <v>100.14285714285714</v>
      </c>
      <c r="DH28" s="24">
        <v>74.751428571428576</v>
      </c>
      <c r="DI28" s="24">
        <v>54.285714285714285</v>
      </c>
      <c r="DJ28" s="24">
        <v>76.999941886007946</v>
      </c>
      <c r="DK28" s="24">
        <v>94.93511515301627</v>
      </c>
      <c r="DL28" s="25">
        <v>88.946940831177272</v>
      </c>
      <c r="DM28" s="20">
        <v>19</v>
      </c>
      <c r="DN28" s="24">
        <v>25.346491228070178</v>
      </c>
      <c r="DO28" s="24">
        <v>25.837719298245617</v>
      </c>
      <c r="DP28" s="24">
        <v>9.473684210526315</v>
      </c>
      <c r="DQ28" s="24">
        <v>487.63157894736844</v>
      </c>
      <c r="DR28" s="24">
        <v>500.90909090909093</v>
      </c>
      <c r="DS28" s="24">
        <v>29.473684210526315</v>
      </c>
      <c r="DT28" s="24">
        <v>90.029031533703659</v>
      </c>
      <c r="DU28" s="25">
        <v>22.272727272727273</v>
      </c>
      <c r="DV28" s="20">
        <v>19</v>
      </c>
      <c r="DW28" s="24">
        <v>23.354166666666668</v>
      </c>
      <c r="DX28" s="24">
        <v>24.052083333333336</v>
      </c>
      <c r="DY28" s="24">
        <v>9.1385416666666668</v>
      </c>
      <c r="DZ28" s="24">
        <v>9.2552083333333321</v>
      </c>
      <c r="EA28" s="24">
        <v>594.0625</v>
      </c>
      <c r="EB28" s="24">
        <v>504.25</v>
      </c>
      <c r="EC28" s="24">
        <v>504.25</v>
      </c>
      <c r="ED28" s="24">
        <v>85.141249999999985</v>
      </c>
      <c r="EE28" s="24">
        <v>40.9375</v>
      </c>
      <c r="EF28" s="24">
        <v>87.010971275722255</v>
      </c>
      <c r="EG28" s="24">
        <v>92.889481895303845</v>
      </c>
      <c r="EH28" s="25">
        <v>93.205559797910297</v>
      </c>
      <c r="EI28" s="20">
        <v>1</v>
      </c>
      <c r="EJ28" s="24">
        <v>22.5</v>
      </c>
      <c r="EK28" s="24">
        <v>25.5</v>
      </c>
      <c r="EL28" s="24">
        <v>11</v>
      </c>
      <c r="EM28" s="24">
        <v>750</v>
      </c>
      <c r="EN28" s="24">
        <v>555</v>
      </c>
      <c r="EO28" s="24">
        <v>180</v>
      </c>
      <c r="EP28" s="24">
        <v>74</v>
      </c>
      <c r="EQ28" s="25">
        <v>15</v>
      </c>
      <c r="ER28" s="20">
        <v>7</v>
      </c>
      <c r="ES28" s="24">
        <v>22.309523809523807</v>
      </c>
      <c r="ET28" s="24">
        <v>23.228571428571428</v>
      </c>
      <c r="EU28" s="24">
        <v>8.8214285714285712</v>
      </c>
      <c r="EV28" s="24">
        <v>8.9642857142857135</v>
      </c>
      <c r="EW28" s="24">
        <v>639.28571428571433</v>
      </c>
      <c r="EX28" s="24">
        <v>528.28571428571433</v>
      </c>
      <c r="EY28" s="24">
        <v>55.142857142857146</v>
      </c>
      <c r="EZ28" s="24">
        <v>83.395714285714277</v>
      </c>
      <c r="FA28" s="24">
        <v>47.285714285714285</v>
      </c>
      <c r="FB28" s="24">
        <v>84.80078380695393</v>
      </c>
      <c r="FC28" s="24">
        <v>92.635084462453307</v>
      </c>
      <c r="FD28" s="24">
        <v>92.751013879044237</v>
      </c>
    </row>
    <row r="29" spans="1:160" x14ac:dyDescent="0.25">
      <c r="A29">
        <v>4069</v>
      </c>
      <c r="B29">
        <v>1</v>
      </c>
      <c r="C29">
        <v>51</v>
      </c>
      <c r="D29" s="1">
        <v>1.75</v>
      </c>
      <c r="E29">
        <v>90</v>
      </c>
      <c r="F29">
        <v>29.39</v>
      </c>
      <c r="G29">
        <v>1</v>
      </c>
      <c r="H29">
        <v>16</v>
      </c>
      <c r="I29">
        <v>22</v>
      </c>
      <c r="J29">
        <v>1</v>
      </c>
      <c r="K29">
        <v>2</v>
      </c>
      <c r="L29">
        <v>3</v>
      </c>
      <c r="M29" s="1">
        <v>21.43</v>
      </c>
      <c r="N29">
        <v>19.87</v>
      </c>
      <c r="O29" s="1">
        <v>22</v>
      </c>
      <c r="P29" s="1">
        <v>0.56999999999999995</v>
      </c>
      <c r="Q29" s="1">
        <v>24.85</v>
      </c>
      <c r="R29" s="1">
        <v>3.42</v>
      </c>
      <c r="S29" s="1">
        <v>21</v>
      </c>
      <c r="T29">
        <v>1</v>
      </c>
      <c r="U29">
        <v>2</v>
      </c>
      <c r="V29">
        <v>0</v>
      </c>
      <c r="W29">
        <v>7</v>
      </c>
      <c r="X29">
        <v>1</v>
      </c>
      <c r="Y29">
        <v>15</v>
      </c>
      <c r="Z29">
        <v>12</v>
      </c>
      <c r="AA29">
        <v>1</v>
      </c>
      <c r="AB29">
        <v>1</v>
      </c>
      <c r="AC29">
        <v>17</v>
      </c>
      <c r="AD29">
        <v>3</v>
      </c>
      <c r="AE29">
        <v>2</v>
      </c>
      <c r="AF29">
        <v>3</v>
      </c>
      <c r="AG29">
        <v>3</v>
      </c>
      <c r="AH29">
        <v>3</v>
      </c>
      <c r="AI29">
        <v>1</v>
      </c>
      <c r="AJ29">
        <v>0</v>
      </c>
      <c r="AK29">
        <v>2</v>
      </c>
      <c r="AL29">
        <v>14</v>
      </c>
      <c r="AM29">
        <v>2</v>
      </c>
      <c r="AN29">
        <v>7</v>
      </c>
      <c r="AO29">
        <v>7</v>
      </c>
      <c r="AP29">
        <v>7</v>
      </c>
      <c r="AQ29">
        <v>21</v>
      </c>
      <c r="AR29">
        <v>0</v>
      </c>
      <c r="AS29">
        <v>15</v>
      </c>
      <c r="AT29">
        <v>5</v>
      </c>
      <c r="AU29">
        <v>1</v>
      </c>
      <c r="AV29">
        <v>8</v>
      </c>
      <c r="AW29">
        <v>11</v>
      </c>
      <c r="AX29">
        <v>1</v>
      </c>
      <c r="AY29">
        <v>1</v>
      </c>
      <c r="AZ29">
        <v>13</v>
      </c>
      <c r="BA29">
        <v>2</v>
      </c>
      <c r="BB29">
        <v>2</v>
      </c>
      <c r="BC29">
        <v>3</v>
      </c>
      <c r="BD29">
        <v>3</v>
      </c>
      <c r="BE29">
        <v>3</v>
      </c>
      <c r="BF29">
        <v>1</v>
      </c>
      <c r="BG29">
        <v>0</v>
      </c>
      <c r="BH29">
        <v>1</v>
      </c>
      <c r="BI29">
        <v>13</v>
      </c>
      <c r="BJ29">
        <v>2</v>
      </c>
      <c r="BK29">
        <v>4</v>
      </c>
      <c r="BL29">
        <v>4</v>
      </c>
      <c r="BM29">
        <v>4</v>
      </c>
      <c r="BN29">
        <v>12</v>
      </c>
      <c r="BO29">
        <v>0</v>
      </c>
      <c r="BP29">
        <v>14</v>
      </c>
      <c r="BQ29">
        <v>4</v>
      </c>
      <c r="BR29">
        <v>2</v>
      </c>
      <c r="BS29">
        <v>2</v>
      </c>
      <c r="BT29">
        <v>4</v>
      </c>
      <c r="BU29">
        <v>2</v>
      </c>
      <c r="BV29">
        <v>2</v>
      </c>
      <c r="BW29">
        <v>5</v>
      </c>
      <c r="BX29">
        <v>2</v>
      </c>
      <c r="BY29">
        <v>2</v>
      </c>
      <c r="BZ29">
        <v>2</v>
      </c>
      <c r="CA29">
        <v>1</v>
      </c>
      <c r="CB29">
        <v>1</v>
      </c>
      <c r="CC29">
        <v>13</v>
      </c>
      <c r="CD29">
        <v>1</v>
      </c>
      <c r="CE29">
        <v>1</v>
      </c>
      <c r="CF29">
        <v>1</v>
      </c>
      <c r="CG29">
        <v>37</v>
      </c>
      <c r="CH29">
        <v>35</v>
      </c>
      <c r="CI29">
        <v>35</v>
      </c>
      <c r="CJ29">
        <v>37</v>
      </c>
      <c r="CK29">
        <v>37</v>
      </c>
      <c r="CL29">
        <v>23</v>
      </c>
      <c r="CM29">
        <v>18</v>
      </c>
      <c r="CN29">
        <v>17</v>
      </c>
      <c r="CO29">
        <v>22</v>
      </c>
      <c r="CP29" s="26">
        <v>19</v>
      </c>
      <c r="CQ29" s="20">
        <v>6</v>
      </c>
      <c r="CR29" s="24">
        <v>25.055555555555554</v>
      </c>
      <c r="CS29" s="24">
        <v>25.555555555555554</v>
      </c>
      <c r="CT29" s="24">
        <v>6.8055555555555562</v>
      </c>
      <c r="CU29" s="24">
        <v>345</v>
      </c>
      <c r="CV29" s="24">
        <v>268.33333333333331</v>
      </c>
      <c r="CW29" s="24">
        <v>30</v>
      </c>
      <c r="CX29" s="24">
        <v>76.789695759078597</v>
      </c>
      <c r="CY29" s="25">
        <v>46.666666666666664</v>
      </c>
      <c r="CZ29" s="20">
        <v>6</v>
      </c>
      <c r="DA29" s="24">
        <v>24.847222222222218</v>
      </c>
      <c r="DB29" s="24">
        <v>25.058333333333334</v>
      </c>
      <c r="DC29" s="24">
        <v>7.3666666666666671</v>
      </c>
      <c r="DD29" s="24">
        <v>7.4722222222222223</v>
      </c>
      <c r="DE29" s="24">
        <v>397.5</v>
      </c>
      <c r="DF29" s="24">
        <v>344.16666666666669</v>
      </c>
      <c r="DG29" s="24">
        <v>12.666666666666666</v>
      </c>
      <c r="DH29" s="24">
        <v>87.158333333333346</v>
      </c>
      <c r="DI29" s="24">
        <v>34.333333333333336</v>
      </c>
      <c r="DJ29" s="24">
        <v>87.082483190245284</v>
      </c>
      <c r="DK29" s="24">
        <v>91.768650812649398</v>
      </c>
      <c r="DL29" s="25">
        <v>90.417791966881239</v>
      </c>
      <c r="DM29" s="20">
        <v>20</v>
      </c>
      <c r="DN29" s="24">
        <v>22.0625</v>
      </c>
      <c r="DO29" s="24">
        <v>23.083333333333336</v>
      </c>
      <c r="DP29" s="24">
        <v>6.8624999999999998</v>
      </c>
      <c r="DQ29" s="24">
        <v>528</v>
      </c>
      <c r="DR29" s="24">
        <v>289.25</v>
      </c>
      <c r="DS29" s="24">
        <v>61.25</v>
      </c>
      <c r="DT29" s="24">
        <v>54.694757981149792</v>
      </c>
      <c r="DU29" s="25">
        <v>177.5</v>
      </c>
      <c r="DV29" s="20">
        <v>20</v>
      </c>
      <c r="DW29" s="24">
        <v>22.565789473684209</v>
      </c>
      <c r="DX29" s="24">
        <v>23.092982456140351</v>
      </c>
      <c r="DY29" s="24">
        <v>6.8350877192982464</v>
      </c>
      <c r="DZ29" s="24">
        <v>7.0921052631578947</v>
      </c>
      <c r="EA29" s="24">
        <v>511.57894736842104</v>
      </c>
      <c r="EB29" s="24">
        <v>400.05263157894734</v>
      </c>
      <c r="EC29" s="24">
        <v>400.05263157894734</v>
      </c>
      <c r="ED29" s="24">
        <v>78.473684210526301</v>
      </c>
      <c r="EE29" s="24">
        <v>64.473684210526315</v>
      </c>
      <c r="EF29" s="24">
        <v>79.184842554884284</v>
      </c>
      <c r="EG29" s="24">
        <v>86.763463466278679</v>
      </c>
      <c r="EH29" s="25">
        <v>85.369579515897016</v>
      </c>
      <c r="EI29" s="20">
        <v>20</v>
      </c>
      <c r="EJ29" s="24">
        <v>22.0625</v>
      </c>
      <c r="EK29" s="24">
        <v>23.083333333333336</v>
      </c>
      <c r="EL29" s="24">
        <v>6.8624999999999998</v>
      </c>
      <c r="EM29" s="24">
        <v>528</v>
      </c>
      <c r="EN29" s="24">
        <v>289.25</v>
      </c>
      <c r="EO29" s="24">
        <v>61.25</v>
      </c>
      <c r="EP29" s="24">
        <v>54.694757981149792</v>
      </c>
      <c r="EQ29" s="25">
        <v>177.5</v>
      </c>
      <c r="ER29" s="20">
        <v>16</v>
      </c>
      <c r="ES29" s="24">
        <v>22.260416666666664</v>
      </c>
      <c r="ET29" s="24">
        <v>22.817708333333332</v>
      </c>
      <c r="EU29" s="24">
        <v>6.7770833333333336</v>
      </c>
      <c r="EV29" s="24">
        <v>7.0572916666666679</v>
      </c>
      <c r="EW29" s="24">
        <v>527.8125</v>
      </c>
      <c r="EX29" s="24">
        <v>407.75</v>
      </c>
      <c r="EY29" s="24">
        <v>33.4375</v>
      </c>
      <c r="EZ29" s="24">
        <v>77.34812500000001</v>
      </c>
      <c r="FA29" s="24">
        <v>69.8125</v>
      </c>
      <c r="FB29" s="24">
        <v>77.77323033061846</v>
      </c>
      <c r="FC29" s="24">
        <v>85.993828630574015</v>
      </c>
      <c r="FD29" s="24">
        <v>84.503624887903229</v>
      </c>
    </row>
    <row r="30" spans="1:160" x14ac:dyDescent="0.25">
      <c r="A30">
        <v>4071</v>
      </c>
      <c r="B30">
        <v>1</v>
      </c>
      <c r="C30">
        <v>44</v>
      </c>
      <c r="D30" s="1">
        <v>1.78</v>
      </c>
      <c r="E30">
        <v>94</v>
      </c>
      <c r="F30">
        <v>29.67</v>
      </c>
      <c r="G30">
        <v>1</v>
      </c>
      <c r="H30">
        <v>9</v>
      </c>
      <c r="I30">
        <v>22</v>
      </c>
      <c r="J30">
        <v>1</v>
      </c>
      <c r="K30">
        <v>1</v>
      </c>
      <c r="L30">
        <v>3</v>
      </c>
      <c r="M30" s="1">
        <v>21.25</v>
      </c>
      <c r="N30">
        <v>23.05</v>
      </c>
      <c r="O30" s="1">
        <v>22</v>
      </c>
      <c r="P30" s="1">
        <v>0.75</v>
      </c>
      <c r="Q30" s="1">
        <v>23.89</v>
      </c>
      <c r="R30" s="1">
        <v>2.64</v>
      </c>
      <c r="S30" s="1">
        <v>21</v>
      </c>
      <c r="T30">
        <v>3</v>
      </c>
      <c r="U30">
        <v>0</v>
      </c>
      <c r="V30">
        <v>1</v>
      </c>
      <c r="W30">
        <v>3</v>
      </c>
      <c r="X30">
        <v>1</v>
      </c>
      <c r="Y30">
        <v>1</v>
      </c>
      <c r="Z30">
        <v>2</v>
      </c>
      <c r="AA30">
        <v>1</v>
      </c>
      <c r="AB30">
        <v>1</v>
      </c>
      <c r="AC30">
        <v>10</v>
      </c>
      <c r="AD30">
        <v>2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5</v>
      </c>
      <c r="AM30">
        <v>1</v>
      </c>
      <c r="AN30">
        <v>7</v>
      </c>
      <c r="AO30">
        <v>2</v>
      </c>
      <c r="AP30">
        <v>6</v>
      </c>
      <c r="AQ30">
        <v>15</v>
      </c>
      <c r="AR30">
        <v>0</v>
      </c>
      <c r="AS30">
        <v>8</v>
      </c>
      <c r="AT30">
        <v>2</v>
      </c>
      <c r="AU30">
        <v>1</v>
      </c>
      <c r="AV30">
        <v>1</v>
      </c>
      <c r="AW30">
        <v>2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2</v>
      </c>
      <c r="BJ30">
        <v>1</v>
      </c>
      <c r="BK30">
        <v>1</v>
      </c>
      <c r="BL30">
        <v>3</v>
      </c>
      <c r="BM30">
        <v>1</v>
      </c>
      <c r="BN30">
        <v>5</v>
      </c>
      <c r="BO30">
        <v>0</v>
      </c>
      <c r="BP30">
        <v>0</v>
      </c>
      <c r="BQ30">
        <v>3</v>
      </c>
      <c r="BR30">
        <v>2</v>
      </c>
      <c r="BS30">
        <v>1</v>
      </c>
      <c r="BT30">
        <v>1</v>
      </c>
      <c r="BU30">
        <v>1</v>
      </c>
      <c r="BV30">
        <v>1</v>
      </c>
      <c r="BW30">
        <v>2</v>
      </c>
      <c r="BX30">
        <v>1</v>
      </c>
      <c r="BY30">
        <v>1</v>
      </c>
      <c r="BZ30">
        <v>1</v>
      </c>
      <c r="CA30">
        <v>4</v>
      </c>
      <c r="CB30">
        <v>1</v>
      </c>
      <c r="CC30">
        <v>1</v>
      </c>
      <c r="CD30">
        <v>7</v>
      </c>
      <c r="CE30">
        <v>2</v>
      </c>
      <c r="CF30">
        <v>1</v>
      </c>
      <c r="CG30">
        <v>20</v>
      </c>
      <c r="CH30">
        <v>9</v>
      </c>
      <c r="CI30">
        <v>9</v>
      </c>
      <c r="CJ30">
        <v>21</v>
      </c>
      <c r="CK30">
        <v>14</v>
      </c>
      <c r="CL30">
        <v>18</v>
      </c>
      <c r="CM30">
        <v>8</v>
      </c>
      <c r="CN30">
        <v>8</v>
      </c>
      <c r="CO30">
        <v>11</v>
      </c>
      <c r="CP30" s="26">
        <v>8</v>
      </c>
      <c r="CQ30" s="20">
        <v>7</v>
      </c>
      <c r="CR30" s="24">
        <v>23.38095238095238</v>
      </c>
      <c r="CS30" s="24">
        <v>23.86904761904762</v>
      </c>
      <c r="CT30" s="24">
        <v>7.7976190476190466</v>
      </c>
      <c r="CU30" s="24">
        <v>505</v>
      </c>
      <c r="CV30" s="24">
        <v>464.28571428571428</v>
      </c>
      <c r="CW30" s="24">
        <v>29.285714285714285</v>
      </c>
      <c r="CX30" s="24">
        <v>91.878733021974355</v>
      </c>
      <c r="CY30" s="25">
        <v>11.428571428571429</v>
      </c>
      <c r="CZ30" s="20">
        <v>7</v>
      </c>
      <c r="DA30" s="24">
        <v>23.892857142857142</v>
      </c>
      <c r="DB30" s="24">
        <v>24.009523809523809</v>
      </c>
      <c r="DC30" s="24">
        <v>7.4119047619047622</v>
      </c>
      <c r="DD30" s="24">
        <v>7.6428571428571432</v>
      </c>
      <c r="DE30" s="24">
        <v>465</v>
      </c>
      <c r="DF30" s="24">
        <v>413.14285714285717</v>
      </c>
      <c r="DG30" s="24">
        <v>7</v>
      </c>
      <c r="DH30" s="24">
        <v>89.149999999999991</v>
      </c>
      <c r="DI30" s="24">
        <v>31</v>
      </c>
      <c r="DJ30" s="24">
        <v>94.221408092488218</v>
      </c>
      <c r="DK30" s="24">
        <v>92.625213346467703</v>
      </c>
      <c r="DL30" s="25">
        <v>86.002762664361185</v>
      </c>
      <c r="DM30" s="20">
        <v>27</v>
      </c>
      <c r="DN30" s="24">
        <v>22.521604938271601</v>
      </c>
      <c r="DO30" s="24">
        <v>22.944444444444439</v>
      </c>
      <c r="DP30" s="24">
        <v>7.2222222222222214</v>
      </c>
      <c r="DQ30" s="24">
        <v>522.03703703703707</v>
      </c>
      <c r="DR30" s="24">
        <v>483.51851851851853</v>
      </c>
      <c r="DS30" s="24">
        <v>25.37037037037037</v>
      </c>
      <c r="DT30" s="24">
        <v>92.513235387604539</v>
      </c>
      <c r="DU30" s="25">
        <v>13.148148148148149</v>
      </c>
      <c r="DV30" s="20">
        <v>27</v>
      </c>
      <c r="DW30" s="24">
        <v>22.682692307692307</v>
      </c>
      <c r="DX30" s="24">
        <v>23.016666666666666</v>
      </c>
      <c r="DY30" s="24">
        <v>7.3326923076923078</v>
      </c>
      <c r="DZ30" s="24">
        <v>7.4423076923076916</v>
      </c>
      <c r="EA30" s="24">
        <v>525.57692307692309</v>
      </c>
      <c r="EB30" s="24">
        <v>459.76923076923077</v>
      </c>
      <c r="EC30" s="24">
        <v>459.76923076923077</v>
      </c>
      <c r="ED30" s="24">
        <v>87.474615384615376</v>
      </c>
      <c r="EE30" s="24">
        <v>39.192307692307693</v>
      </c>
      <c r="EF30" s="24">
        <v>87.063547256369276</v>
      </c>
      <c r="EG30" s="24">
        <v>92.913638265059461</v>
      </c>
      <c r="EH30" s="25">
        <v>88.675656766191068</v>
      </c>
      <c r="EI30" s="20">
        <v>25</v>
      </c>
      <c r="EJ30" s="24">
        <v>22.403333333333329</v>
      </c>
      <c r="EK30" s="24">
        <v>22.85</v>
      </c>
      <c r="EL30" s="24">
        <v>7.0799999999999992</v>
      </c>
      <c r="EM30" s="24">
        <v>520.6</v>
      </c>
      <c r="EN30" s="24">
        <v>480.4</v>
      </c>
      <c r="EO30" s="24">
        <v>26.8</v>
      </c>
      <c r="EP30" s="24">
        <v>92.173553477872161</v>
      </c>
      <c r="EQ30" s="25">
        <v>13.4</v>
      </c>
      <c r="ER30" s="20">
        <v>21</v>
      </c>
      <c r="ES30" s="24">
        <v>22.43253968253968</v>
      </c>
      <c r="ET30" s="24">
        <v>22.81746031746032</v>
      </c>
      <c r="EU30" s="24">
        <v>7.1047619047619044</v>
      </c>
      <c r="EV30" s="24">
        <v>7.2182539682539684</v>
      </c>
      <c r="EW30" s="24">
        <v>527.14285714285711</v>
      </c>
      <c r="EX30" s="24">
        <v>457.61904761904759</v>
      </c>
      <c r="EY30" s="24">
        <v>23.095238095238095</v>
      </c>
      <c r="EZ30" s="24">
        <v>86.758095238095237</v>
      </c>
      <c r="FA30" s="24">
        <v>39.61904761904762</v>
      </c>
      <c r="FB30" s="24">
        <v>85.953754628530874</v>
      </c>
      <c r="FC30" s="24">
        <v>92.510871423181925</v>
      </c>
      <c r="FD30" s="24">
        <v>88.576636582179603</v>
      </c>
    </row>
    <row r="31" spans="1:160" x14ac:dyDescent="0.25">
      <c r="A31">
        <v>4072</v>
      </c>
      <c r="B31">
        <v>1</v>
      </c>
      <c r="C31">
        <v>31</v>
      </c>
      <c r="D31" s="1">
        <v>1.91</v>
      </c>
      <c r="E31">
        <v>94</v>
      </c>
      <c r="F31">
        <v>25.77</v>
      </c>
      <c r="G31">
        <v>2</v>
      </c>
      <c r="H31">
        <v>10</v>
      </c>
      <c r="I31">
        <v>29</v>
      </c>
      <c r="J31">
        <v>2</v>
      </c>
      <c r="K31">
        <v>1</v>
      </c>
      <c r="L31">
        <v>3</v>
      </c>
      <c r="M31" s="1">
        <v>23.85</v>
      </c>
      <c r="N31">
        <v>23.32</v>
      </c>
      <c r="O31" s="1">
        <v>24</v>
      </c>
      <c r="P31" s="1">
        <v>0.15</v>
      </c>
      <c r="Q31" s="1">
        <v>25.830000000000002</v>
      </c>
      <c r="R31" s="1">
        <v>1.98</v>
      </c>
      <c r="S31" s="1">
        <v>23</v>
      </c>
      <c r="T31">
        <v>0</v>
      </c>
      <c r="U31">
        <v>0</v>
      </c>
      <c r="V31">
        <v>0</v>
      </c>
      <c r="W31">
        <v>4</v>
      </c>
      <c r="X31">
        <v>1</v>
      </c>
      <c r="Y31">
        <v>5</v>
      </c>
      <c r="Z31">
        <v>3</v>
      </c>
      <c r="AA31">
        <v>1</v>
      </c>
      <c r="AB31">
        <v>1</v>
      </c>
      <c r="AC31">
        <v>9</v>
      </c>
      <c r="AD31">
        <v>2</v>
      </c>
      <c r="AE31">
        <v>1</v>
      </c>
      <c r="AF31">
        <v>3</v>
      </c>
      <c r="AG31">
        <v>7</v>
      </c>
      <c r="AH31">
        <v>0</v>
      </c>
      <c r="AI31">
        <v>1</v>
      </c>
      <c r="AJ31">
        <v>0</v>
      </c>
      <c r="AK31">
        <v>0</v>
      </c>
      <c r="AL31">
        <v>12</v>
      </c>
      <c r="AM31">
        <v>2</v>
      </c>
      <c r="AN31">
        <v>3</v>
      </c>
      <c r="AO31">
        <v>0</v>
      </c>
      <c r="AP31">
        <v>2</v>
      </c>
      <c r="AQ31">
        <v>5</v>
      </c>
      <c r="AR31">
        <v>0</v>
      </c>
      <c r="AS31">
        <v>4</v>
      </c>
      <c r="AT31">
        <v>2</v>
      </c>
      <c r="AU31">
        <v>1</v>
      </c>
      <c r="AV31">
        <v>1</v>
      </c>
      <c r="AW31">
        <v>0</v>
      </c>
      <c r="AX31">
        <v>1</v>
      </c>
      <c r="AY31">
        <v>1</v>
      </c>
      <c r="AZ31">
        <v>4</v>
      </c>
      <c r="BA31">
        <v>1</v>
      </c>
      <c r="BB31">
        <v>1</v>
      </c>
      <c r="BC31">
        <v>3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5</v>
      </c>
      <c r="BJ31">
        <v>1</v>
      </c>
      <c r="BK31">
        <v>5</v>
      </c>
      <c r="BL31">
        <v>1</v>
      </c>
      <c r="BM31">
        <v>5</v>
      </c>
      <c r="BN31">
        <v>11</v>
      </c>
      <c r="BO31">
        <v>0</v>
      </c>
      <c r="BP31">
        <v>0</v>
      </c>
      <c r="BQ31">
        <v>3</v>
      </c>
      <c r="BR31">
        <v>2</v>
      </c>
      <c r="BS31">
        <v>1</v>
      </c>
      <c r="BT31">
        <v>1</v>
      </c>
      <c r="BU31">
        <v>1</v>
      </c>
      <c r="BV31">
        <v>1</v>
      </c>
      <c r="BW31">
        <v>2</v>
      </c>
      <c r="BX31">
        <v>1</v>
      </c>
      <c r="BY31">
        <v>1</v>
      </c>
      <c r="BZ31">
        <v>1</v>
      </c>
      <c r="CA31">
        <v>3</v>
      </c>
      <c r="CB31">
        <v>1</v>
      </c>
      <c r="CC31">
        <v>5</v>
      </c>
      <c r="CD31">
        <v>5</v>
      </c>
      <c r="CE31">
        <v>2</v>
      </c>
      <c r="CF31">
        <v>2</v>
      </c>
      <c r="CG31">
        <v>20</v>
      </c>
      <c r="CH31">
        <v>18</v>
      </c>
      <c r="CI31">
        <v>18</v>
      </c>
      <c r="CJ31">
        <v>22</v>
      </c>
      <c r="CK31">
        <v>16</v>
      </c>
      <c r="CL31">
        <v>12</v>
      </c>
      <c r="CM31">
        <v>15</v>
      </c>
      <c r="CN31">
        <v>11</v>
      </c>
      <c r="CO31">
        <v>12</v>
      </c>
      <c r="CP31" s="26">
        <v>13</v>
      </c>
      <c r="CQ31" s="20">
        <v>5</v>
      </c>
      <c r="CR31" s="24">
        <v>25.93333333333333</v>
      </c>
      <c r="CS31" s="24">
        <v>26.466666666666669</v>
      </c>
      <c r="CT31" s="24">
        <v>10.326666666666666</v>
      </c>
      <c r="CU31" s="24">
        <v>503.6</v>
      </c>
      <c r="CV31" s="24">
        <v>464.6</v>
      </c>
      <c r="CW31" s="24">
        <v>32</v>
      </c>
      <c r="CX31" s="24">
        <v>92.329417113226214</v>
      </c>
      <c r="CY31" s="25">
        <v>7</v>
      </c>
      <c r="CZ31" s="20">
        <v>5</v>
      </c>
      <c r="DA31" s="24">
        <v>25.833333333333332</v>
      </c>
      <c r="DB31" s="24">
        <v>26.073333333333334</v>
      </c>
      <c r="DC31" s="24">
        <v>10.239999999999998</v>
      </c>
      <c r="DD31" s="24">
        <v>10.326666666666666</v>
      </c>
      <c r="DE31" s="24">
        <v>509.6</v>
      </c>
      <c r="DF31" s="24">
        <v>450.6</v>
      </c>
      <c r="DG31" s="24">
        <v>14.4</v>
      </c>
      <c r="DH31" s="24">
        <v>88.494</v>
      </c>
      <c r="DI31" s="24">
        <v>39.4</v>
      </c>
      <c r="DJ31" s="24">
        <v>88.26117371909406</v>
      </c>
      <c r="DK31" s="24">
        <v>93.611066511078519</v>
      </c>
      <c r="DL31" s="25">
        <v>90.581886076856293</v>
      </c>
      <c r="DM31" s="20">
        <v>23</v>
      </c>
      <c r="DN31" s="24">
        <v>24.065942028985511</v>
      </c>
      <c r="DO31" s="24">
        <v>24.767391304347825</v>
      </c>
      <c r="DP31" s="24">
        <v>8.973188405797103</v>
      </c>
      <c r="DQ31" s="24">
        <v>534.43478260869563</v>
      </c>
      <c r="DR31" s="24">
        <v>486.04347826086956</v>
      </c>
      <c r="DS31" s="24">
        <v>42.086956521739133</v>
      </c>
      <c r="DT31" s="24">
        <v>90.959765821725071</v>
      </c>
      <c r="DU31" s="25">
        <v>6.3043478260869561</v>
      </c>
      <c r="DV31" s="20">
        <v>23</v>
      </c>
      <c r="DW31" s="24">
        <v>24.065942028985511</v>
      </c>
      <c r="DX31" s="24">
        <v>24.521014492753626</v>
      </c>
      <c r="DY31" s="24">
        <v>8.8231884057971008</v>
      </c>
      <c r="DZ31" s="24">
        <v>8.9297101449275367</v>
      </c>
      <c r="EA31" s="24">
        <v>531.82608695652175</v>
      </c>
      <c r="EB31" s="24">
        <v>460.60869565217394</v>
      </c>
      <c r="EC31" s="24">
        <v>460.60869565217394</v>
      </c>
      <c r="ED31" s="24">
        <v>86.617391304347819</v>
      </c>
      <c r="EE31" s="24">
        <v>37.521739130434781</v>
      </c>
      <c r="EF31" s="24">
        <v>86.789761181272894</v>
      </c>
      <c r="EG31" s="24">
        <v>92.861411172391058</v>
      </c>
      <c r="EH31" s="25">
        <v>91.821562262833254</v>
      </c>
      <c r="EI31" s="20">
        <v>23</v>
      </c>
      <c r="EJ31" s="24">
        <v>24.065942028985511</v>
      </c>
      <c r="EK31" s="24">
        <v>24.767391304347825</v>
      </c>
      <c r="EL31" s="24">
        <v>8.973188405797103</v>
      </c>
      <c r="EM31" s="24">
        <v>534.43478260869563</v>
      </c>
      <c r="EN31" s="24">
        <v>486.04347826086956</v>
      </c>
      <c r="EO31" s="24">
        <v>42.086956521739133</v>
      </c>
      <c r="EP31" s="24">
        <v>90.959765821725071</v>
      </c>
      <c r="EQ31" s="25">
        <v>6.3043478260869561</v>
      </c>
      <c r="ER31" s="20">
        <v>23</v>
      </c>
      <c r="ES31" s="24">
        <v>24.065942028985511</v>
      </c>
      <c r="ET31" s="24">
        <v>24.521014492753626</v>
      </c>
      <c r="EU31" s="24">
        <v>8.8231884057971008</v>
      </c>
      <c r="EV31" s="24">
        <v>8.9297101449275367</v>
      </c>
      <c r="EW31" s="24">
        <v>531.82608695652175</v>
      </c>
      <c r="EX31" s="24">
        <v>460.60869565217394</v>
      </c>
      <c r="EY31" s="24">
        <v>27.304347826086957</v>
      </c>
      <c r="EZ31" s="24">
        <v>86.617391304347819</v>
      </c>
      <c r="FA31" s="24">
        <v>37.521739130434781</v>
      </c>
      <c r="FB31" s="24">
        <v>86.789761181272894</v>
      </c>
      <c r="FC31" s="24">
        <v>92.861411172391058</v>
      </c>
      <c r="FD31" s="24">
        <v>91.821562262833254</v>
      </c>
    </row>
    <row r="32" spans="1:160" x14ac:dyDescent="0.25">
      <c r="A32">
        <v>4073</v>
      </c>
      <c r="B32">
        <v>2</v>
      </c>
      <c r="C32">
        <v>19</v>
      </c>
      <c r="D32" s="1">
        <v>1.65</v>
      </c>
      <c r="E32">
        <v>79</v>
      </c>
      <c r="F32">
        <v>29.02</v>
      </c>
      <c r="G32">
        <v>1</v>
      </c>
      <c r="H32">
        <v>14</v>
      </c>
      <c r="I32">
        <v>19</v>
      </c>
      <c r="J32">
        <v>1</v>
      </c>
      <c r="K32">
        <v>2</v>
      </c>
      <c r="L32">
        <v>3</v>
      </c>
      <c r="M32" s="1">
        <v>23.8</v>
      </c>
      <c r="N32">
        <v>22.77</v>
      </c>
      <c r="O32" s="1">
        <v>23</v>
      </c>
      <c r="P32" s="1">
        <v>-0.8</v>
      </c>
      <c r="Q32" s="1">
        <v>25.5</v>
      </c>
      <c r="R32" s="1">
        <v>1.7</v>
      </c>
      <c r="S32" s="1">
        <v>22</v>
      </c>
      <c r="T32">
        <v>0</v>
      </c>
      <c r="U32">
        <v>2</v>
      </c>
      <c r="V32">
        <v>0</v>
      </c>
      <c r="W32">
        <v>3</v>
      </c>
      <c r="X32">
        <v>1</v>
      </c>
      <c r="Y32">
        <v>9</v>
      </c>
      <c r="Z32">
        <v>2</v>
      </c>
      <c r="AA32">
        <v>1</v>
      </c>
      <c r="AB32">
        <v>1</v>
      </c>
      <c r="AC32">
        <v>13</v>
      </c>
      <c r="AD32">
        <v>2</v>
      </c>
      <c r="AE32">
        <v>2</v>
      </c>
      <c r="AF32">
        <v>3</v>
      </c>
      <c r="AG32">
        <v>2</v>
      </c>
      <c r="AH32">
        <v>1</v>
      </c>
      <c r="AI32">
        <v>1</v>
      </c>
      <c r="AJ32">
        <v>0</v>
      </c>
      <c r="AK32">
        <v>2</v>
      </c>
      <c r="AL32">
        <v>11</v>
      </c>
      <c r="AM32">
        <v>2</v>
      </c>
      <c r="AN32">
        <v>6</v>
      </c>
      <c r="AO32">
        <v>3</v>
      </c>
      <c r="AP32">
        <v>8</v>
      </c>
      <c r="AQ32">
        <v>17</v>
      </c>
      <c r="AR32">
        <v>3</v>
      </c>
      <c r="AS32">
        <v>20</v>
      </c>
      <c r="AT32">
        <v>5</v>
      </c>
      <c r="AU32">
        <v>1</v>
      </c>
      <c r="AV32">
        <v>13</v>
      </c>
      <c r="AW32">
        <v>1</v>
      </c>
      <c r="AX32">
        <v>1</v>
      </c>
      <c r="AY32">
        <v>1</v>
      </c>
      <c r="AZ32">
        <v>13</v>
      </c>
      <c r="BA32">
        <v>2</v>
      </c>
      <c r="BB32">
        <v>2</v>
      </c>
      <c r="BC32">
        <v>3</v>
      </c>
      <c r="BD32">
        <v>1</v>
      </c>
      <c r="BE32">
        <v>2</v>
      </c>
      <c r="BF32">
        <v>1</v>
      </c>
      <c r="BG32">
        <v>0</v>
      </c>
      <c r="BH32">
        <v>2</v>
      </c>
      <c r="BI32">
        <v>11</v>
      </c>
      <c r="BJ32">
        <v>2</v>
      </c>
      <c r="BK32">
        <v>4</v>
      </c>
      <c r="BL32">
        <v>3</v>
      </c>
      <c r="BM32">
        <v>6</v>
      </c>
      <c r="BN32">
        <v>13</v>
      </c>
      <c r="BO32">
        <v>3</v>
      </c>
      <c r="BP32">
        <v>10</v>
      </c>
      <c r="BQ32">
        <v>4</v>
      </c>
      <c r="BR32">
        <v>2</v>
      </c>
      <c r="BS32">
        <v>2</v>
      </c>
      <c r="BT32">
        <v>4</v>
      </c>
      <c r="BU32">
        <v>2</v>
      </c>
      <c r="BV32">
        <v>2</v>
      </c>
      <c r="BW32">
        <v>3</v>
      </c>
      <c r="BX32">
        <v>2</v>
      </c>
      <c r="BY32">
        <v>1</v>
      </c>
      <c r="BZ32">
        <v>2</v>
      </c>
      <c r="CA32">
        <v>2</v>
      </c>
      <c r="CB32">
        <v>1</v>
      </c>
      <c r="CC32">
        <v>9</v>
      </c>
      <c r="CD32">
        <v>2</v>
      </c>
      <c r="CE32">
        <v>1</v>
      </c>
      <c r="CF32">
        <v>1</v>
      </c>
      <c r="CG32">
        <v>29</v>
      </c>
      <c r="CH32">
        <v>32</v>
      </c>
      <c r="CI32">
        <v>36</v>
      </c>
      <c r="CJ32">
        <v>29</v>
      </c>
      <c r="CK32">
        <v>35</v>
      </c>
      <c r="CL32">
        <v>22</v>
      </c>
      <c r="CM32">
        <v>25</v>
      </c>
      <c r="CN32">
        <v>25</v>
      </c>
      <c r="CO32">
        <v>27</v>
      </c>
      <c r="CP32" s="26">
        <v>23</v>
      </c>
      <c r="CQ32" s="20">
        <v>6</v>
      </c>
      <c r="CR32" s="24">
        <v>25.083333333333332</v>
      </c>
      <c r="CS32" s="24">
        <v>26.375</v>
      </c>
      <c r="CT32" s="24">
        <v>9.25</v>
      </c>
      <c r="CU32" s="24">
        <v>490</v>
      </c>
      <c r="CV32" s="24">
        <v>386.66666666666669</v>
      </c>
      <c r="CW32" s="24">
        <v>77.5</v>
      </c>
      <c r="CX32" s="24">
        <v>77.933201058201064</v>
      </c>
      <c r="CY32" s="25">
        <v>25.833333333333332</v>
      </c>
      <c r="CZ32" s="20">
        <v>6</v>
      </c>
      <c r="DA32" s="24">
        <v>25.5</v>
      </c>
      <c r="DB32" s="24">
        <v>25.666666666666668</v>
      </c>
      <c r="DC32" s="24">
        <v>8.5861111111111104</v>
      </c>
      <c r="DD32" s="24">
        <v>8.8333333333333339</v>
      </c>
      <c r="DE32" s="24">
        <v>440</v>
      </c>
      <c r="DF32" s="24">
        <v>354.66666666666669</v>
      </c>
      <c r="DG32" s="24">
        <v>10</v>
      </c>
      <c r="DH32" s="24">
        <v>80.215000000000003</v>
      </c>
      <c r="DI32" s="24">
        <v>60.5</v>
      </c>
      <c r="DJ32" s="24">
        <v>80.268315018315022</v>
      </c>
      <c r="DK32" s="24">
        <v>87.203907203907207</v>
      </c>
      <c r="DL32" s="25">
        <v>80.909035409035397</v>
      </c>
      <c r="DM32" s="20">
        <v>18</v>
      </c>
      <c r="DN32" s="24">
        <v>23.046296296296298</v>
      </c>
      <c r="DO32" s="24">
        <v>24.75462962962963</v>
      </c>
      <c r="DP32" s="24">
        <v>9.8888888888888893</v>
      </c>
      <c r="DQ32" s="24">
        <v>650.55555555555554</v>
      </c>
      <c r="DR32" s="24">
        <v>493.33333333333331</v>
      </c>
      <c r="DS32" s="24">
        <v>102.5</v>
      </c>
      <c r="DT32" s="24">
        <v>73.077192325403686</v>
      </c>
      <c r="DU32" s="25">
        <v>54.722222222222221</v>
      </c>
      <c r="DV32" s="20">
        <v>18</v>
      </c>
      <c r="DW32" s="24">
        <v>25.35</v>
      </c>
      <c r="DX32" s="24">
        <v>25.627777777777784</v>
      </c>
      <c r="DY32" s="24">
        <v>9.8555555555555543</v>
      </c>
      <c r="DZ32" s="24">
        <v>10</v>
      </c>
      <c r="EA32" s="24">
        <v>519</v>
      </c>
      <c r="EB32" s="24">
        <v>407.26666666666665</v>
      </c>
      <c r="EC32" s="24">
        <v>407.26666666666665</v>
      </c>
      <c r="ED32" s="24">
        <v>78.789333333333346</v>
      </c>
      <c r="EE32" s="24">
        <v>86.4</v>
      </c>
      <c r="EF32" s="24">
        <v>82.364887166631178</v>
      </c>
      <c r="EG32" s="24">
        <v>80.663986880577141</v>
      </c>
      <c r="EH32" s="25">
        <v>81.533006167753427</v>
      </c>
      <c r="EI32" s="20">
        <v>18</v>
      </c>
      <c r="EJ32" s="24">
        <v>23.046296296296298</v>
      </c>
      <c r="EK32" s="24">
        <v>24.75462962962963</v>
      </c>
      <c r="EL32" s="24">
        <v>9.8888888888888893</v>
      </c>
      <c r="EM32" s="24">
        <v>650.55555555555554</v>
      </c>
      <c r="EN32" s="24">
        <v>493.33333333333331</v>
      </c>
      <c r="EO32" s="24">
        <v>102.5</v>
      </c>
      <c r="EP32" s="24">
        <v>73.077192325403686</v>
      </c>
      <c r="EQ32" s="25">
        <v>54.722222222222221</v>
      </c>
      <c r="ER32" s="20">
        <v>4</v>
      </c>
      <c r="ES32" s="24">
        <v>23.0625</v>
      </c>
      <c r="ET32" s="24">
        <v>23.495833333333337</v>
      </c>
      <c r="EU32" s="24">
        <v>8.5666666666666664</v>
      </c>
      <c r="EV32" s="24">
        <v>8.75</v>
      </c>
      <c r="EW32" s="24">
        <v>581.25</v>
      </c>
      <c r="EX32" s="24">
        <v>450.5</v>
      </c>
      <c r="EY32" s="24">
        <v>26</v>
      </c>
      <c r="EZ32" s="24">
        <v>78.167500000000004</v>
      </c>
      <c r="FA32" s="24">
        <v>93.75</v>
      </c>
      <c r="FB32" s="24">
        <v>82.418168751840327</v>
      </c>
      <c r="FC32" s="24">
        <v>78.187533285512629</v>
      </c>
      <c r="FD32" s="24">
        <v>83.912356300968753</v>
      </c>
    </row>
    <row r="33" spans="1:160" x14ac:dyDescent="0.25">
      <c r="A33">
        <v>4076</v>
      </c>
      <c r="B33">
        <v>2</v>
      </c>
      <c r="C33">
        <v>34</v>
      </c>
      <c r="D33" s="1">
        <v>1.56</v>
      </c>
      <c r="E33">
        <v>69</v>
      </c>
      <c r="F33">
        <v>28.35</v>
      </c>
      <c r="G33">
        <v>2</v>
      </c>
      <c r="H33">
        <v>12</v>
      </c>
      <c r="I33">
        <v>25</v>
      </c>
      <c r="J33">
        <v>2</v>
      </c>
      <c r="K33">
        <v>2</v>
      </c>
      <c r="L33">
        <v>3</v>
      </c>
      <c r="M33" s="1">
        <v>23.47</v>
      </c>
      <c r="N33">
        <v>25.15</v>
      </c>
      <c r="O33" s="1">
        <v>24</v>
      </c>
      <c r="P33" s="1">
        <v>0.53</v>
      </c>
      <c r="Q33" s="1">
        <v>25.979999999999997</v>
      </c>
      <c r="R33" s="1">
        <v>2.5099999999999998</v>
      </c>
      <c r="S33" s="1">
        <v>23</v>
      </c>
      <c r="T33">
        <v>0</v>
      </c>
      <c r="U33">
        <v>2</v>
      </c>
      <c r="V33">
        <v>0</v>
      </c>
      <c r="W33">
        <v>8</v>
      </c>
      <c r="X33">
        <v>1</v>
      </c>
      <c r="Y33">
        <v>4</v>
      </c>
      <c r="Z33">
        <v>10</v>
      </c>
      <c r="AA33">
        <v>1</v>
      </c>
      <c r="AB33">
        <v>1</v>
      </c>
      <c r="AC33">
        <v>6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0</v>
      </c>
      <c r="AK33">
        <v>1</v>
      </c>
      <c r="AL33">
        <v>5</v>
      </c>
      <c r="AM33">
        <v>1</v>
      </c>
      <c r="AN33">
        <v>3</v>
      </c>
      <c r="AO33">
        <v>4</v>
      </c>
      <c r="AP33">
        <v>8</v>
      </c>
      <c r="AQ33">
        <v>15</v>
      </c>
      <c r="AR33">
        <v>3</v>
      </c>
      <c r="AS33">
        <v>1</v>
      </c>
      <c r="AT33">
        <v>8</v>
      </c>
      <c r="AU33">
        <v>1</v>
      </c>
      <c r="AV33">
        <v>3</v>
      </c>
      <c r="AW33">
        <v>6</v>
      </c>
      <c r="AX33">
        <v>1</v>
      </c>
      <c r="AY33">
        <v>1</v>
      </c>
      <c r="AZ33">
        <v>7</v>
      </c>
      <c r="BA33">
        <v>1</v>
      </c>
      <c r="BB33">
        <v>1</v>
      </c>
      <c r="BC33">
        <v>1</v>
      </c>
      <c r="BD33">
        <v>0</v>
      </c>
      <c r="BE33">
        <v>1</v>
      </c>
      <c r="BF33">
        <v>1</v>
      </c>
      <c r="BG33">
        <v>0</v>
      </c>
      <c r="BH33">
        <v>1</v>
      </c>
      <c r="BI33">
        <v>5</v>
      </c>
      <c r="BJ33">
        <v>1</v>
      </c>
      <c r="BK33">
        <v>2</v>
      </c>
      <c r="BL33">
        <v>4</v>
      </c>
      <c r="BM33">
        <v>4</v>
      </c>
      <c r="BN33">
        <v>10</v>
      </c>
      <c r="BO33">
        <v>10</v>
      </c>
      <c r="BP33">
        <v>0</v>
      </c>
      <c r="BQ33">
        <v>4</v>
      </c>
      <c r="BR33">
        <v>2</v>
      </c>
      <c r="BS33">
        <v>2</v>
      </c>
      <c r="BT33">
        <v>4</v>
      </c>
      <c r="BU33">
        <v>2</v>
      </c>
      <c r="BV33">
        <v>2</v>
      </c>
      <c r="BW33">
        <v>3</v>
      </c>
      <c r="BX33">
        <v>2</v>
      </c>
      <c r="BY33">
        <v>1</v>
      </c>
      <c r="BZ33">
        <v>2</v>
      </c>
      <c r="CA33">
        <v>2</v>
      </c>
      <c r="CB33">
        <v>1</v>
      </c>
      <c r="CC33">
        <v>9</v>
      </c>
      <c r="CD33">
        <v>2</v>
      </c>
      <c r="CE33">
        <v>1</v>
      </c>
      <c r="CF33">
        <v>2</v>
      </c>
      <c r="CG33">
        <v>15</v>
      </c>
      <c r="CH33">
        <v>17</v>
      </c>
      <c r="CI33">
        <v>15</v>
      </c>
      <c r="CJ33">
        <v>19</v>
      </c>
      <c r="CK33">
        <v>16</v>
      </c>
      <c r="CL33">
        <v>12</v>
      </c>
      <c r="CM33">
        <v>16</v>
      </c>
      <c r="CN33">
        <v>14</v>
      </c>
      <c r="CO33">
        <v>13</v>
      </c>
      <c r="CP33" s="26">
        <v>13</v>
      </c>
      <c r="CQ33" s="20">
        <v>7</v>
      </c>
      <c r="CR33" s="24">
        <v>25.980952380952381</v>
      </c>
      <c r="CS33" s="24">
        <v>26.195238095238096</v>
      </c>
      <c r="CT33" s="24">
        <v>9.5357142857142865</v>
      </c>
      <c r="CU33" s="24">
        <v>453.28571428571428</v>
      </c>
      <c r="CV33" s="24">
        <v>434.71428571428572</v>
      </c>
      <c r="CW33" s="24">
        <v>12.857142857142858</v>
      </c>
      <c r="CX33" s="24">
        <v>95.742454445196046</v>
      </c>
      <c r="CY33" s="25">
        <v>5.7142857142857144</v>
      </c>
      <c r="CZ33" s="20">
        <v>7</v>
      </c>
      <c r="DA33" s="24">
        <v>25.980952380952381</v>
      </c>
      <c r="DB33" s="24">
        <v>26.288095238095242</v>
      </c>
      <c r="DC33" s="24">
        <v>9.3928571428571423</v>
      </c>
      <c r="DD33" s="24">
        <v>9.5357142857142865</v>
      </c>
      <c r="DE33" s="24">
        <v>453.28571428571428</v>
      </c>
      <c r="DF33" s="24">
        <v>389.28571428571428</v>
      </c>
      <c r="DG33" s="24">
        <v>18.428571428571427</v>
      </c>
      <c r="DH33" s="24">
        <v>84.70714285714287</v>
      </c>
      <c r="DI33" s="24">
        <v>37</v>
      </c>
      <c r="DJ33" s="24">
        <v>85.811791395947537</v>
      </c>
      <c r="DK33" s="24">
        <v>92.131860068232314</v>
      </c>
      <c r="DL33" s="25">
        <v>83.15622423159725</v>
      </c>
      <c r="DM33" s="20">
        <v>17</v>
      </c>
      <c r="DN33" s="24">
        <v>24.565686274509805</v>
      </c>
      <c r="DO33" s="24">
        <v>24.751960784313724</v>
      </c>
      <c r="DP33" s="24">
        <v>8.5784313725490193</v>
      </c>
      <c r="DQ33" s="24">
        <v>480.76470588235293</v>
      </c>
      <c r="DR33" s="24">
        <v>468.29411764705884</v>
      </c>
      <c r="DS33" s="24">
        <v>11.176470588235293</v>
      </c>
      <c r="DT33" s="24">
        <v>97.484363819845967</v>
      </c>
      <c r="DU33" s="25">
        <v>1.2941176470588236</v>
      </c>
      <c r="DV33" s="20">
        <v>17</v>
      </c>
      <c r="DW33" s="24">
        <v>24.742156862745098</v>
      </c>
      <c r="DX33" s="24">
        <v>25.031372549019608</v>
      </c>
      <c r="DY33" s="24">
        <v>8.3549019607843142</v>
      </c>
      <c r="DZ33" s="24">
        <v>8.5196078431372531</v>
      </c>
      <c r="EA33" s="24">
        <v>466.64705882352939</v>
      </c>
      <c r="EB33" s="24">
        <v>400.1764705882353</v>
      </c>
      <c r="EC33" s="24">
        <v>400.1764705882353</v>
      </c>
      <c r="ED33" s="24">
        <v>85.994117647058829</v>
      </c>
      <c r="EE33" s="24">
        <v>39.235294117647058</v>
      </c>
      <c r="EF33" s="24">
        <v>86.694711597554331</v>
      </c>
      <c r="EG33" s="24">
        <v>92.716829340219135</v>
      </c>
      <c r="EH33" s="25">
        <v>86.843183064804549</v>
      </c>
      <c r="EI33" s="20">
        <v>14</v>
      </c>
      <c r="EJ33" s="24">
        <v>24.365476190476191</v>
      </c>
      <c r="EK33" s="24">
        <v>24.585714285714285</v>
      </c>
      <c r="EL33" s="24">
        <v>8.738095238095239</v>
      </c>
      <c r="EM33" s="24">
        <v>502.35714285714283</v>
      </c>
      <c r="EN33" s="24">
        <v>487.57142857142856</v>
      </c>
      <c r="EO33" s="24">
        <v>13.214285714285714</v>
      </c>
      <c r="EP33" s="24">
        <v>97.012054598330977</v>
      </c>
      <c r="EQ33" s="25">
        <v>1.5714285714285714</v>
      </c>
      <c r="ER33" s="20">
        <v>14</v>
      </c>
      <c r="ES33" s="24">
        <v>24.579761904761906</v>
      </c>
      <c r="ET33" s="24">
        <v>24.894047619047615</v>
      </c>
      <c r="EU33" s="24">
        <v>8.4928571428571438</v>
      </c>
      <c r="EV33" s="24">
        <v>8.6666666666666661</v>
      </c>
      <c r="EW33" s="24">
        <v>485.21428571428572</v>
      </c>
      <c r="EX33" s="24">
        <v>415.21428571428572</v>
      </c>
      <c r="EY33" s="24">
        <v>18.857142857142858</v>
      </c>
      <c r="EZ33" s="24">
        <v>85.840000000000018</v>
      </c>
      <c r="FA33" s="24">
        <v>40.714285714285715</v>
      </c>
      <c r="FB33" s="24">
        <v>86.909581771540886</v>
      </c>
      <c r="FC33" s="24">
        <v>92.877767196538258</v>
      </c>
      <c r="FD33" s="24">
        <v>85.833458633695741</v>
      </c>
    </row>
    <row r="34" spans="1:160" x14ac:dyDescent="0.25">
      <c r="A34">
        <v>4077</v>
      </c>
      <c r="B34">
        <v>2</v>
      </c>
      <c r="C34">
        <v>47</v>
      </c>
      <c r="D34" s="1">
        <v>1.5</v>
      </c>
      <c r="E34">
        <v>48</v>
      </c>
      <c r="F34">
        <v>21.33</v>
      </c>
      <c r="G34">
        <v>2</v>
      </c>
      <c r="H34">
        <v>12</v>
      </c>
      <c r="I34">
        <v>24</v>
      </c>
      <c r="J34">
        <v>2</v>
      </c>
      <c r="K34">
        <v>1</v>
      </c>
      <c r="L34">
        <v>3</v>
      </c>
      <c r="M34" s="1">
        <v>22.2</v>
      </c>
      <c r="N34">
        <v>22.42</v>
      </c>
      <c r="O34" s="1">
        <v>22</v>
      </c>
      <c r="P34" s="1">
        <v>-0.2</v>
      </c>
      <c r="Q34" s="1">
        <v>23.7</v>
      </c>
      <c r="R34" s="1">
        <v>1.5</v>
      </c>
      <c r="S34" s="1">
        <v>21</v>
      </c>
      <c r="T34">
        <v>0</v>
      </c>
      <c r="U34">
        <v>2</v>
      </c>
      <c r="V34">
        <v>0</v>
      </c>
      <c r="W34">
        <v>4</v>
      </c>
      <c r="X34">
        <v>1</v>
      </c>
      <c r="Y34">
        <v>9</v>
      </c>
      <c r="Z34">
        <v>0</v>
      </c>
      <c r="AA34">
        <v>1</v>
      </c>
      <c r="AB34">
        <v>1</v>
      </c>
      <c r="AC34">
        <v>18</v>
      </c>
      <c r="AD34">
        <v>3</v>
      </c>
      <c r="AE34">
        <v>2</v>
      </c>
      <c r="AF34">
        <v>2</v>
      </c>
      <c r="AG34">
        <v>1</v>
      </c>
      <c r="AH34">
        <v>2</v>
      </c>
      <c r="AI34">
        <v>1</v>
      </c>
      <c r="AJ34">
        <v>0</v>
      </c>
      <c r="AK34">
        <v>1</v>
      </c>
      <c r="AL34">
        <v>9</v>
      </c>
      <c r="AM34">
        <v>2</v>
      </c>
      <c r="AN34">
        <v>5</v>
      </c>
      <c r="AO34">
        <v>5</v>
      </c>
      <c r="AP34">
        <v>5</v>
      </c>
      <c r="AQ34">
        <v>15</v>
      </c>
      <c r="AR34">
        <v>0</v>
      </c>
      <c r="AS34">
        <v>0</v>
      </c>
      <c r="AT34">
        <v>3</v>
      </c>
      <c r="AU34">
        <v>1</v>
      </c>
      <c r="AV34">
        <v>4</v>
      </c>
      <c r="AW34">
        <v>0</v>
      </c>
      <c r="AX34">
        <v>1</v>
      </c>
      <c r="AY34">
        <v>1</v>
      </c>
      <c r="AZ34">
        <v>16</v>
      </c>
      <c r="BA34">
        <v>3</v>
      </c>
      <c r="BB34">
        <v>2</v>
      </c>
      <c r="BC34">
        <v>3</v>
      </c>
      <c r="BD34">
        <v>1</v>
      </c>
      <c r="BE34">
        <v>3</v>
      </c>
      <c r="BF34">
        <v>1</v>
      </c>
      <c r="BG34">
        <v>0</v>
      </c>
      <c r="BH34">
        <v>1</v>
      </c>
      <c r="BI34">
        <v>11</v>
      </c>
      <c r="BJ34">
        <v>2</v>
      </c>
      <c r="BK34">
        <v>5</v>
      </c>
      <c r="BL34">
        <v>5</v>
      </c>
      <c r="BM34">
        <v>5</v>
      </c>
      <c r="BN34">
        <v>15</v>
      </c>
      <c r="BO34">
        <v>0</v>
      </c>
      <c r="BP34">
        <v>8</v>
      </c>
      <c r="BQ34">
        <v>3</v>
      </c>
      <c r="BR34">
        <v>2</v>
      </c>
      <c r="BS34">
        <v>1</v>
      </c>
      <c r="BT34">
        <v>3</v>
      </c>
      <c r="BU34">
        <v>2</v>
      </c>
      <c r="BV34">
        <v>1</v>
      </c>
      <c r="BW34">
        <v>4</v>
      </c>
      <c r="BX34">
        <v>2</v>
      </c>
      <c r="BY34">
        <v>2</v>
      </c>
      <c r="BZ34">
        <v>2</v>
      </c>
      <c r="CA34">
        <v>1</v>
      </c>
      <c r="CB34">
        <v>1</v>
      </c>
      <c r="CC34">
        <v>13</v>
      </c>
      <c r="CD34">
        <v>1</v>
      </c>
      <c r="CE34">
        <v>1</v>
      </c>
      <c r="CF34">
        <v>2</v>
      </c>
      <c r="CG34">
        <v>36</v>
      </c>
      <c r="CH34">
        <v>28</v>
      </c>
      <c r="CI34">
        <v>27</v>
      </c>
      <c r="CJ34">
        <v>29</v>
      </c>
      <c r="CK34">
        <v>30</v>
      </c>
      <c r="CL34">
        <v>25</v>
      </c>
      <c r="CM34">
        <v>17</v>
      </c>
      <c r="CN34">
        <v>20</v>
      </c>
      <c r="CO34">
        <v>23</v>
      </c>
      <c r="CP34" s="26">
        <v>19</v>
      </c>
      <c r="CQ34" s="20">
        <v>7</v>
      </c>
      <c r="CR34" s="24">
        <v>23.702380952380953</v>
      </c>
      <c r="CS34" s="24">
        <v>25.309523809523807</v>
      </c>
      <c r="CT34" s="24">
        <v>8.4880952380952372</v>
      </c>
      <c r="CU34" s="24">
        <v>527.14285714285711</v>
      </c>
      <c r="CV34" s="24">
        <v>350</v>
      </c>
      <c r="CW34" s="24">
        <v>96.428571428571431</v>
      </c>
      <c r="CX34" s="24">
        <v>67.260675468900345</v>
      </c>
      <c r="CY34" s="25">
        <v>70</v>
      </c>
      <c r="CZ34" s="20">
        <v>7</v>
      </c>
      <c r="DA34" s="24">
        <v>23.702380952380953</v>
      </c>
      <c r="DB34" s="24">
        <v>24.002380952380953</v>
      </c>
      <c r="DC34" s="24">
        <v>8.2714285714285705</v>
      </c>
      <c r="DD34" s="24">
        <v>8.4880952380952372</v>
      </c>
      <c r="DE34" s="24">
        <v>527.14285714285711</v>
      </c>
      <c r="DF34" s="24">
        <v>416.42857142857144</v>
      </c>
      <c r="DG34" s="24">
        <v>18</v>
      </c>
      <c r="DH34" s="24">
        <v>79.242857142857133</v>
      </c>
      <c r="DI34" s="24">
        <v>79.714285714285708</v>
      </c>
      <c r="DJ34" s="24">
        <v>76.122648289921585</v>
      </c>
      <c r="DK34" s="24">
        <v>84.604943793131426</v>
      </c>
      <c r="DL34" s="25">
        <v>81.007526243677631</v>
      </c>
      <c r="DM34" s="20">
        <v>23</v>
      </c>
      <c r="DN34" s="24">
        <v>22.192028985507243</v>
      </c>
      <c r="DO34" s="24">
        <v>23.192028985507246</v>
      </c>
      <c r="DP34" s="24">
        <v>8.0181159420289845</v>
      </c>
      <c r="DQ34" s="24">
        <v>589.56521739130437</v>
      </c>
      <c r="DR34" s="24">
        <v>431.95652173913044</v>
      </c>
      <c r="DS34" s="24">
        <v>60</v>
      </c>
      <c r="DT34" s="24">
        <v>73.246157227425016</v>
      </c>
      <c r="DU34" s="25">
        <v>97.608695652173907</v>
      </c>
      <c r="DV34" s="20">
        <v>23</v>
      </c>
      <c r="DW34" s="24">
        <v>22.189393939393934</v>
      </c>
      <c r="DX34" s="24">
        <v>22.614285714285717</v>
      </c>
      <c r="DY34" s="24">
        <v>7.8150793650793657</v>
      </c>
      <c r="DZ34" s="24">
        <v>8.0189393939393945</v>
      </c>
      <c r="EA34" s="24">
        <v>589.77272727272725</v>
      </c>
      <c r="EB34" s="24">
        <v>463.04761904761904</v>
      </c>
      <c r="EC34" s="24">
        <v>463.04761904761904</v>
      </c>
      <c r="ED34" s="24">
        <v>78.428571428571402</v>
      </c>
      <c r="EE34" s="24">
        <v>89</v>
      </c>
      <c r="EF34" s="24">
        <v>79.199247024217897</v>
      </c>
      <c r="EG34" s="24">
        <v>79.722316511999608</v>
      </c>
      <c r="EH34" s="25">
        <v>82.464321286361667</v>
      </c>
      <c r="EI34" s="20">
        <v>23</v>
      </c>
      <c r="EJ34" s="24">
        <v>22.192028985507243</v>
      </c>
      <c r="EK34" s="24">
        <v>23.192028985507246</v>
      </c>
      <c r="EL34" s="24">
        <v>8.0181159420289845</v>
      </c>
      <c r="EM34" s="24">
        <v>589.56521739130437</v>
      </c>
      <c r="EN34" s="24">
        <v>431.95652173913044</v>
      </c>
      <c r="EO34" s="24">
        <v>60</v>
      </c>
      <c r="EP34" s="24">
        <v>73.246157227425016</v>
      </c>
      <c r="EQ34" s="25">
        <v>97.608695652173907</v>
      </c>
      <c r="ER34" s="20">
        <v>22</v>
      </c>
      <c r="ES34" s="24">
        <v>22.189393939393934</v>
      </c>
      <c r="ET34" s="24">
        <v>22.614285714285717</v>
      </c>
      <c r="EU34" s="24">
        <v>7.8150793650793657</v>
      </c>
      <c r="EV34" s="24">
        <v>8.0189393939393945</v>
      </c>
      <c r="EW34" s="24">
        <v>589.77272727272725</v>
      </c>
      <c r="EX34" s="24">
        <v>463.04761904761904</v>
      </c>
      <c r="EY34" s="24">
        <v>25.428571428571427</v>
      </c>
      <c r="EZ34" s="24">
        <v>78.428571428571402</v>
      </c>
      <c r="FA34" s="24">
        <v>89</v>
      </c>
      <c r="FB34" s="24">
        <v>79.199247024217897</v>
      </c>
      <c r="FC34" s="24">
        <v>79.722316511999608</v>
      </c>
      <c r="FD34" s="24">
        <v>82.464321286361667</v>
      </c>
    </row>
    <row r="35" spans="1:160" x14ac:dyDescent="0.25">
      <c r="A35">
        <v>4081</v>
      </c>
      <c r="B35">
        <v>1</v>
      </c>
      <c r="C35">
        <v>26</v>
      </c>
      <c r="D35" s="1">
        <v>1.64</v>
      </c>
      <c r="E35">
        <v>66</v>
      </c>
      <c r="F35">
        <v>24.23</v>
      </c>
      <c r="G35">
        <v>1</v>
      </c>
      <c r="H35">
        <v>13</v>
      </c>
      <c r="I35">
        <v>20</v>
      </c>
      <c r="J35">
        <v>1</v>
      </c>
      <c r="K35">
        <v>1</v>
      </c>
      <c r="L35">
        <v>3</v>
      </c>
      <c r="M35" s="1">
        <v>22.05</v>
      </c>
      <c r="O35" s="1">
        <v>22</v>
      </c>
      <c r="P35" s="1">
        <v>-0.05</v>
      </c>
      <c r="Q35" s="1">
        <v>23.28</v>
      </c>
      <c r="R35" s="1">
        <v>1.23</v>
      </c>
      <c r="S35" s="1">
        <v>21</v>
      </c>
      <c r="T35">
        <v>0</v>
      </c>
      <c r="U35">
        <v>2</v>
      </c>
      <c r="V35">
        <v>0</v>
      </c>
      <c r="W35">
        <v>3</v>
      </c>
      <c r="X35">
        <v>1</v>
      </c>
      <c r="Y35">
        <v>2</v>
      </c>
      <c r="Z35">
        <v>0</v>
      </c>
      <c r="AA35">
        <v>1</v>
      </c>
      <c r="AB35">
        <v>1</v>
      </c>
      <c r="AC35">
        <v>9</v>
      </c>
      <c r="AD35">
        <v>2</v>
      </c>
      <c r="AE35">
        <v>2</v>
      </c>
      <c r="AF35">
        <v>2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6</v>
      </c>
      <c r="AM35">
        <v>2</v>
      </c>
      <c r="AN35">
        <v>8</v>
      </c>
      <c r="AO35">
        <v>3</v>
      </c>
      <c r="AP35">
        <v>8</v>
      </c>
      <c r="AQ35">
        <v>19</v>
      </c>
      <c r="AR35">
        <v>3</v>
      </c>
      <c r="AS35">
        <v>2</v>
      </c>
      <c r="AT35">
        <v>2</v>
      </c>
      <c r="AU35">
        <v>1</v>
      </c>
      <c r="AV35">
        <v>4</v>
      </c>
      <c r="AW35">
        <v>10</v>
      </c>
      <c r="AX35">
        <v>1</v>
      </c>
      <c r="AY35">
        <v>1</v>
      </c>
      <c r="AZ35">
        <v>26</v>
      </c>
      <c r="BA35">
        <v>4</v>
      </c>
      <c r="BB35">
        <v>3</v>
      </c>
      <c r="BC35">
        <v>2</v>
      </c>
      <c r="BD35">
        <v>3</v>
      </c>
      <c r="BE35">
        <v>3</v>
      </c>
      <c r="BF35">
        <v>1</v>
      </c>
      <c r="BG35">
        <v>0</v>
      </c>
      <c r="BH35">
        <v>2</v>
      </c>
      <c r="BI35">
        <v>14</v>
      </c>
      <c r="BJ35">
        <v>2</v>
      </c>
      <c r="BK35">
        <v>10</v>
      </c>
      <c r="BL35">
        <v>5</v>
      </c>
      <c r="BM35">
        <v>5</v>
      </c>
      <c r="BN35">
        <v>20</v>
      </c>
      <c r="BO35">
        <v>2</v>
      </c>
      <c r="BP35">
        <v>10</v>
      </c>
      <c r="BQ35">
        <v>3</v>
      </c>
      <c r="BR35">
        <v>2</v>
      </c>
      <c r="BS35">
        <v>1</v>
      </c>
      <c r="BT35">
        <v>4</v>
      </c>
      <c r="BU35">
        <v>2</v>
      </c>
      <c r="BV35">
        <v>2</v>
      </c>
      <c r="BW35">
        <v>6</v>
      </c>
      <c r="BX35">
        <v>2</v>
      </c>
      <c r="BY35">
        <v>2</v>
      </c>
      <c r="BZ35">
        <v>3</v>
      </c>
      <c r="CA35">
        <v>1</v>
      </c>
      <c r="CB35">
        <v>2</v>
      </c>
      <c r="CC35">
        <v>14</v>
      </c>
      <c r="CD35">
        <v>1</v>
      </c>
      <c r="CE35">
        <v>1</v>
      </c>
      <c r="CF35">
        <v>1</v>
      </c>
      <c r="CG35">
        <v>13</v>
      </c>
      <c r="CH35">
        <v>30</v>
      </c>
      <c r="CI35">
        <v>23</v>
      </c>
      <c r="CJ35">
        <v>23</v>
      </c>
      <c r="CK35">
        <v>35</v>
      </c>
      <c r="CL35">
        <v>19</v>
      </c>
      <c r="CM35">
        <v>33</v>
      </c>
      <c r="CN35">
        <v>19</v>
      </c>
      <c r="CO35">
        <v>26.5</v>
      </c>
      <c r="CP35" s="26">
        <v>34</v>
      </c>
      <c r="CQ35" s="20">
        <v>7</v>
      </c>
      <c r="CR35" s="24">
        <v>23.138095238095239</v>
      </c>
      <c r="CS35" s="24">
        <v>23.661904761904761</v>
      </c>
      <c r="CT35" s="24">
        <v>9.2261904761904781</v>
      </c>
      <c r="CU35" s="24">
        <v>605.28571428571433</v>
      </c>
      <c r="CV35" s="24">
        <v>554.57142857142856</v>
      </c>
      <c r="CW35" s="24">
        <v>31.428571428571427</v>
      </c>
      <c r="CX35" s="24">
        <v>91.470473053779941</v>
      </c>
      <c r="CY35" s="25">
        <v>19.285714285714285</v>
      </c>
      <c r="CZ35" s="20">
        <v>7</v>
      </c>
      <c r="DA35" s="24">
        <v>23.280952380952382</v>
      </c>
      <c r="DB35" s="24">
        <v>23.616666666666667</v>
      </c>
      <c r="DC35" s="24">
        <v>9.0785714285714274</v>
      </c>
      <c r="DD35" s="24">
        <v>9.25</v>
      </c>
      <c r="DE35" s="24">
        <v>598.14285714285711</v>
      </c>
      <c r="DF35" s="24">
        <v>503.42857142857144</v>
      </c>
      <c r="DG35" s="24">
        <v>20.142857142857142</v>
      </c>
      <c r="DH35" s="24">
        <v>84.02428571428571</v>
      </c>
      <c r="DI35" s="24">
        <v>64.285714285714292</v>
      </c>
      <c r="DJ35" s="24">
        <v>83.238161601774877</v>
      </c>
      <c r="DK35" s="24">
        <v>89.386790775968166</v>
      </c>
      <c r="DL35" s="25">
        <v>86.478101019195137</v>
      </c>
      <c r="DN35" s="24"/>
      <c r="DO35" s="24"/>
      <c r="DP35" s="24"/>
      <c r="DQ35" s="24"/>
      <c r="DR35" s="24"/>
      <c r="DS35" s="24"/>
      <c r="DT35" s="24"/>
      <c r="DU35" s="25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5"/>
      <c r="EJ35" s="24"/>
      <c r="EK35" s="24"/>
      <c r="EL35" s="24"/>
      <c r="EM35" s="24"/>
      <c r="EN35" s="24"/>
      <c r="EO35" s="24"/>
      <c r="EP35" s="24"/>
      <c r="EQ35" s="25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</row>
    <row r="36" spans="1:160" x14ac:dyDescent="0.25">
      <c r="A36">
        <v>4083</v>
      </c>
      <c r="B36">
        <v>2</v>
      </c>
      <c r="C36">
        <v>64</v>
      </c>
      <c r="D36" s="1">
        <v>1.45</v>
      </c>
      <c r="E36">
        <v>50</v>
      </c>
      <c r="F36">
        <v>23.78</v>
      </c>
      <c r="G36">
        <v>2</v>
      </c>
      <c r="H36">
        <v>19</v>
      </c>
      <c r="I36">
        <v>21</v>
      </c>
      <c r="J36">
        <v>1</v>
      </c>
      <c r="K36">
        <v>2</v>
      </c>
      <c r="L36">
        <v>3</v>
      </c>
      <c r="M36" s="1">
        <v>25.38</v>
      </c>
      <c r="N36">
        <v>20.8</v>
      </c>
      <c r="O36" s="1">
        <v>24</v>
      </c>
      <c r="P36" s="1">
        <v>-1.38</v>
      </c>
      <c r="Q36" s="1">
        <v>26.64</v>
      </c>
      <c r="R36" s="1">
        <v>1.26</v>
      </c>
      <c r="S36" s="1">
        <v>23</v>
      </c>
      <c r="T36">
        <v>0</v>
      </c>
      <c r="U36">
        <v>2</v>
      </c>
      <c r="V36">
        <v>0</v>
      </c>
      <c r="W36">
        <v>0</v>
      </c>
      <c r="X36">
        <v>1</v>
      </c>
      <c r="Y36">
        <v>11</v>
      </c>
      <c r="Z36">
        <v>14</v>
      </c>
      <c r="AA36">
        <v>2</v>
      </c>
      <c r="AB36">
        <v>1</v>
      </c>
      <c r="AC36">
        <v>18</v>
      </c>
      <c r="AD36">
        <v>3</v>
      </c>
      <c r="AE36">
        <v>2</v>
      </c>
      <c r="AF36">
        <v>2</v>
      </c>
      <c r="AG36">
        <v>2</v>
      </c>
      <c r="AH36">
        <v>3</v>
      </c>
      <c r="AI36">
        <v>2</v>
      </c>
      <c r="AJ36">
        <v>0</v>
      </c>
      <c r="AK36">
        <v>1</v>
      </c>
      <c r="AL36">
        <v>12</v>
      </c>
      <c r="AM36">
        <v>2</v>
      </c>
      <c r="AN36">
        <v>5</v>
      </c>
      <c r="AO36">
        <v>5</v>
      </c>
      <c r="AP36">
        <v>5</v>
      </c>
      <c r="AQ36">
        <v>15</v>
      </c>
      <c r="AR36">
        <v>0</v>
      </c>
      <c r="AS36">
        <v>0</v>
      </c>
      <c r="AT36">
        <v>2</v>
      </c>
      <c r="AU36">
        <v>1</v>
      </c>
      <c r="AV36">
        <v>18</v>
      </c>
      <c r="AW36">
        <v>14</v>
      </c>
      <c r="AX36">
        <v>2</v>
      </c>
      <c r="AY36">
        <v>1</v>
      </c>
      <c r="AZ36">
        <v>14</v>
      </c>
      <c r="BA36">
        <v>2</v>
      </c>
      <c r="BB36">
        <v>1</v>
      </c>
      <c r="BC36">
        <v>2</v>
      </c>
      <c r="BD36">
        <v>1</v>
      </c>
      <c r="BE36">
        <v>3</v>
      </c>
      <c r="BF36">
        <v>2</v>
      </c>
      <c r="BG36">
        <v>0</v>
      </c>
      <c r="BH36">
        <v>1</v>
      </c>
      <c r="BI36">
        <v>10</v>
      </c>
      <c r="BJ36">
        <v>2</v>
      </c>
      <c r="BK36">
        <v>5</v>
      </c>
      <c r="BL36">
        <v>8</v>
      </c>
      <c r="BM36">
        <v>5</v>
      </c>
      <c r="BN36">
        <v>18</v>
      </c>
      <c r="BO36">
        <v>0</v>
      </c>
      <c r="BP36">
        <v>4</v>
      </c>
      <c r="BQ36">
        <v>4</v>
      </c>
      <c r="BR36">
        <v>2</v>
      </c>
      <c r="BS36">
        <v>2</v>
      </c>
      <c r="BT36">
        <v>4</v>
      </c>
      <c r="BU36">
        <v>2</v>
      </c>
      <c r="BV36">
        <v>2</v>
      </c>
      <c r="BW36">
        <v>3</v>
      </c>
      <c r="BX36">
        <v>2</v>
      </c>
      <c r="BY36">
        <v>1</v>
      </c>
      <c r="BZ36">
        <v>2</v>
      </c>
      <c r="CA36">
        <v>2</v>
      </c>
      <c r="CB36">
        <v>1</v>
      </c>
      <c r="CC36">
        <v>9</v>
      </c>
      <c r="CD36">
        <v>2</v>
      </c>
      <c r="CE36">
        <v>1</v>
      </c>
      <c r="CF36">
        <v>2</v>
      </c>
      <c r="CG36">
        <v>29</v>
      </c>
      <c r="CH36">
        <v>31</v>
      </c>
      <c r="CI36">
        <v>29</v>
      </c>
      <c r="CJ36">
        <v>25</v>
      </c>
      <c r="CK36">
        <v>29</v>
      </c>
      <c r="CL36">
        <v>26</v>
      </c>
      <c r="CM36">
        <v>25</v>
      </c>
      <c r="CN36">
        <v>26</v>
      </c>
      <c r="CO36">
        <v>26</v>
      </c>
      <c r="CP36" s="26">
        <v>26</v>
      </c>
      <c r="CQ36" s="20">
        <v>7</v>
      </c>
      <c r="CR36" s="24">
        <v>26.642857142857142</v>
      </c>
      <c r="CS36" s="24">
        <v>27.845238095238095</v>
      </c>
      <c r="CT36" s="24">
        <v>11.714285714285714</v>
      </c>
      <c r="CU36" s="24">
        <v>544.28571428571433</v>
      </c>
      <c r="CV36" s="24">
        <v>400</v>
      </c>
      <c r="CW36" s="24">
        <v>72.142857142857139</v>
      </c>
      <c r="CX36" s="24">
        <v>74.815189233588171</v>
      </c>
      <c r="CY36" s="25">
        <v>72.142857142857139</v>
      </c>
      <c r="CZ36" s="20">
        <v>7</v>
      </c>
      <c r="DA36" s="24">
        <v>26.642857142857142</v>
      </c>
      <c r="DB36" s="24">
        <v>27.076190476190472</v>
      </c>
      <c r="DC36" s="24">
        <v>11.545238095238094</v>
      </c>
      <c r="DD36" s="24">
        <v>11.714285714285714</v>
      </c>
      <c r="DE36" s="24">
        <v>544.28571428571433</v>
      </c>
      <c r="DF36" s="24">
        <v>442.71428571428572</v>
      </c>
      <c r="DG36" s="24">
        <v>26</v>
      </c>
      <c r="DH36" s="24">
        <v>81.545714285714297</v>
      </c>
      <c r="DI36" s="24">
        <v>65.428571428571431</v>
      </c>
      <c r="DJ36" s="24">
        <v>72.256060318864385</v>
      </c>
      <c r="DK36" s="24">
        <v>88.923218410171089</v>
      </c>
      <c r="DL36" s="25">
        <v>90.301208202579275</v>
      </c>
      <c r="DM36" s="20">
        <v>20</v>
      </c>
      <c r="DN36" s="24">
        <v>24</v>
      </c>
      <c r="DO36" s="24">
        <v>25.304166666666667</v>
      </c>
      <c r="DP36" s="24">
        <v>4.5735294117647056</v>
      </c>
      <c r="DQ36" s="24">
        <v>274.41176470588238</v>
      </c>
      <c r="DR36" s="24">
        <v>71.6875</v>
      </c>
      <c r="DS36" s="24">
        <v>82.368421052631575</v>
      </c>
      <c r="DT36" s="24">
        <v>28.179204048769268</v>
      </c>
      <c r="DU36" s="25">
        <v>152.38888888888889</v>
      </c>
      <c r="DV36" s="20">
        <v>20</v>
      </c>
      <c r="DW36" s="24">
        <v>24.058823529411764</v>
      </c>
      <c r="DX36" s="24">
        <v>24.521568627450982</v>
      </c>
      <c r="DY36" s="24">
        <v>10.065686274509803</v>
      </c>
      <c r="DZ36" s="24">
        <v>10.147058823529411</v>
      </c>
      <c r="EA36" s="24">
        <v>605.29411764705878</v>
      </c>
      <c r="EB36" s="24">
        <v>516.17647058823525</v>
      </c>
      <c r="EC36" s="24">
        <v>516.17647058823525</v>
      </c>
      <c r="ED36" s="24">
        <v>85.288235294117641</v>
      </c>
      <c r="EE36" s="24">
        <v>56.470588235294116</v>
      </c>
      <c r="EF36" s="24">
        <v>81.776201384744851</v>
      </c>
      <c r="EG36" s="24">
        <v>85.91585715717477</v>
      </c>
      <c r="EH36" s="25">
        <v>92.759987921362665</v>
      </c>
      <c r="EI36" s="20">
        <v>20</v>
      </c>
      <c r="EJ36" s="24">
        <v>24</v>
      </c>
      <c r="EK36" s="24">
        <v>25.304166666666667</v>
      </c>
      <c r="EL36" s="24">
        <v>4.5735294117647056</v>
      </c>
      <c r="EM36" s="24">
        <v>274.41176470588238</v>
      </c>
      <c r="EN36" s="24">
        <v>71.6875</v>
      </c>
      <c r="EO36" s="24">
        <v>82.368421052631575</v>
      </c>
      <c r="EP36" s="24">
        <v>28.179204048769268</v>
      </c>
      <c r="EQ36" s="25">
        <v>152.38888888888889</v>
      </c>
      <c r="ER36" s="20">
        <v>17</v>
      </c>
      <c r="ES36" s="24">
        <v>24.058823529411764</v>
      </c>
      <c r="ET36" s="24">
        <v>24.521568627450982</v>
      </c>
      <c r="EU36" s="24">
        <v>10.065686274509803</v>
      </c>
      <c r="EV36" s="24">
        <v>10.147058823529411</v>
      </c>
      <c r="EW36" s="24">
        <v>605.29411764705878</v>
      </c>
      <c r="EX36" s="24">
        <v>516.17647058823525</v>
      </c>
      <c r="EY36" s="24">
        <v>27.764705882352942</v>
      </c>
      <c r="EZ36" s="24">
        <v>85.288235294117641</v>
      </c>
      <c r="FA36" s="24">
        <v>56.470588235294116</v>
      </c>
      <c r="FB36" s="24">
        <v>81.776201384744851</v>
      </c>
      <c r="FC36" s="24">
        <v>85.91585715717477</v>
      </c>
      <c r="FD36" s="24">
        <v>92.759987921362665</v>
      </c>
    </row>
    <row r="37" spans="1:160" x14ac:dyDescent="0.25">
      <c r="A37">
        <v>4084</v>
      </c>
      <c r="B37">
        <v>1</v>
      </c>
      <c r="C37">
        <v>60</v>
      </c>
      <c r="D37" s="1">
        <v>1.83</v>
      </c>
      <c r="E37">
        <v>83</v>
      </c>
      <c r="F37">
        <v>24.78</v>
      </c>
      <c r="G37">
        <v>1</v>
      </c>
      <c r="H37">
        <v>11</v>
      </c>
      <c r="I37">
        <v>22</v>
      </c>
      <c r="J37">
        <v>1</v>
      </c>
      <c r="K37">
        <v>2</v>
      </c>
      <c r="L37">
        <v>3</v>
      </c>
      <c r="M37" s="1">
        <v>24.33</v>
      </c>
      <c r="N37">
        <v>22.33</v>
      </c>
      <c r="O37" s="1">
        <v>23</v>
      </c>
      <c r="P37" s="1">
        <v>-1.33</v>
      </c>
      <c r="Q37" s="1">
        <v>26.389999999999997</v>
      </c>
      <c r="R37" s="1">
        <v>2.06</v>
      </c>
      <c r="S37" s="1">
        <v>22</v>
      </c>
      <c r="T37">
        <v>0</v>
      </c>
      <c r="U37">
        <v>2</v>
      </c>
      <c r="V37">
        <v>0</v>
      </c>
      <c r="W37">
        <v>7</v>
      </c>
      <c r="X37">
        <v>1</v>
      </c>
      <c r="Y37">
        <v>13</v>
      </c>
      <c r="Z37">
        <v>21</v>
      </c>
      <c r="AA37">
        <v>2</v>
      </c>
      <c r="AB37">
        <v>2</v>
      </c>
      <c r="AC37">
        <v>14</v>
      </c>
      <c r="AD37">
        <v>2</v>
      </c>
      <c r="AE37">
        <v>1</v>
      </c>
      <c r="AF37">
        <v>0</v>
      </c>
      <c r="AG37">
        <v>1</v>
      </c>
      <c r="AH37">
        <v>0</v>
      </c>
      <c r="AI37">
        <v>1</v>
      </c>
      <c r="AJ37">
        <v>0</v>
      </c>
      <c r="AK37">
        <v>1</v>
      </c>
      <c r="AL37">
        <v>4</v>
      </c>
      <c r="AM37">
        <v>1</v>
      </c>
      <c r="AN37">
        <v>8</v>
      </c>
      <c r="AO37">
        <v>2</v>
      </c>
      <c r="AP37">
        <v>8</v>
      </c>
      <c r="AQ37">
        <v>18</v>
      </c>
      <c r="AR37">
        <v>5</v>
      </c>
      <c r="AS37">
        <v>20</v>
      </c>
      <c r="AT37">
        <v>7</v>
      </c>
      <c r="AU37">
        <v>1</v>
      </c>
      <c r="AV37">
        <v>10</v>
      </c>
      <c r="AW37">
        <v>16</v>
      </c>
      <c r="AX37">
        <v>2</v>
      </c>
      <c r="AY37">
        <v>1</v>
      </c>
      <c r="AZ37">
        <v>15</v>
      </c>
      <c r="BA37">
        <v>3</v>
      </c>
      <c r="BB37">
        <v>2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4</v>
      </c>
      <c r="BJ37">
        <v>1</v>
      </c>
      <c r="BK37">
        <v>7</v>
      </c>
      <c r="BL37">
        <v>2</v>
      </c>
      <c r="BM37">
        <v>7</v>
      </c>
      <c r="BN37">
        <v>16</v>
      </c>
      <c r="BO37">
        <v>0</v>
      </c>
      <c r="BP37">
        <v>20</v>
      </c>
      <c r="BQ37">
        <v>4</v>
      </c>
      <c r="BR37">
        <v>2</v>
      </c>
      <c r="BS37">
        <v>2</v>
      </c>
      <c r="BT37">
        <v>5</v>
      </c>
      <c r="BU37">
        <v>2</v>
      </c>
      <c r="BV37">
        <v>2</v>
      </c>
      <c r="BW37">
        <v>4</v>
      </c>
      <c r="BX37">
        <v>2</v>
      </c>
      <c r="BY37">
        <v>2</v>
      </c>
      <c r="BZ37">
        <v>2</v>
      </c>
      <c r="CA37">
        <v>1</v>
      </c>
      <c r="CB37">
        <v>1</v>
      </c>
      <c r="CC37">
        <v>13</v>
      </c>
      <c r="CD37">
        <v>3</v>
      </c>
      <c r="CE37">
        <v>1</v>
      </c>
      <c r="CF37">
        <v>1</v>
      </c>
      <c r="CG37">
        <v>18</v>
      </c>
      <c r="CH37">
        <v>22</v>
      </c>
      <c r="CI37">
        <v>26</v>
      </c>
      <c r="CJ37">
        <v>22</v>
      </c>
      <c r="CK37">
        <v>24</v>
      </c>
      <c r="CL37">
        <v>21</v>
      </c>
      <c r="CM37">
        <v>16</v>
      </c>
      <c r="CN37">
        <v>13</v>
      </c>
      <c r="CO37">
        <v>13</v>
      </c>
      <c r="CP37" s="26">
        <v>14</v>
      </c>
      <c r="CQ37" s="20">
        <v>7</v>
      </c>
      <c r="CR37" s="24">
        <v>26.38571428571429</v>
      </c>
      <c r="CS37" s="24">
        <v>26.528571428571432</v>
      </c>
      <c r="CT37" s="24">
        <v>9.8333333333333321</v>
      </c>
      <c r="CU37" s="24">
        <v>446.85714285714283</v>
      </c>
      <c r="CV37" s="24">
        <v>434.28571428571428</v>
      </c>
      <c r="CW37" s="24">
        <v>8.5714285714285712</v>
      </c>
      <c r="CX37" s="24">
        <v>97.059428628667177</v>
      </c>
      <c r="CY37" s="25">
        <v>4</v>
      </c>
      <c r="CZ37" s="20">
        <v>7</v>
      </c>
      <c r="DA37" s="24">
        <v>26.38571428571429</v>
      </c>
      <c r="DB37" s="24">
        <v>26.416666666666664</v>
      </c>
      <c r="DC37" s="24">
        <v>9.9142857142857128</v>
      </c>
      <c r="DD37" s="24">
        <v>9.9761904761904763</v>
      </c>
      <c r="DE37" s="24">
        <v>455.42857142857144</v>
      </c>
      <c r="DF37" s="24">
        <v>418.14285714285717</v>
      </c>
      <c r="DG37" s="24">
        <v>1.8571428571428572</v>
      </c>
      <c r="DH37" s="24">
        <v>91.77428571428571</v>
      </c>
      <c r="DI37" s="24">
        <v>31.714285714285715</v>
      </c>
      <c r="DJ37" s="24">
        <v>90.439022442565346</v>
      </c>
      <c r="DK37" s="24">
        <v>94.704522865051459</v>
      </c>
      <c r="DL37" s="25">
        <v>91.649789249300255</v>
      </c>
      <c r="DN37" s="24"/>
      <c r="DO37" s="24"/>
      <c r="DP37" s="24"/>
      <c r="DQ37" s="24"/>
      <c r="DR37" s="24"/>
      <c r="DS37" s="24"/>
      <c r="DT37" s="24"/>
      <c r="DU37" s="25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5"/>
      <c r="EJ37" s="24"/>
      <c r="EK37" s="24"/>
      <c r="EL37" s="24"/>
      <c r="EM37" s="24"/>
      <c r="EN37" s="24"/>
      <c r="EO37" s="24"/>
      <c r="EP37" s="24"/>
      <c r="EQ37" s="25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</row>
    <row r="38" spans="1:160" x14ac:dyDescent="0.25">
      <c r="A38">
        <v>4085</v>
      </c>
      <c r="B38">
        <v>2</v>
      </c>
      <c r="C38">
        <v>51</v>
      </c>
      <c r="D38" s="1">
        <v>1.68</v>
      </c>
      <c r="E38">
        <v>65</v>
      </c>
      <c r="F38">
        <v>23.03</v>
      </c>
      <c r="G38">
        <v>1</v>
      </c>
      <c r="H38">
        <v>8</v>
      </c>
      <c r="I38">
        <v>34</v>
      </c>
      <c r="J38">
        <v>2</v>
      </c>
      <c r="K38">
        <v>2</v>
      </c>
      <c r="L38">
        <v>3</v>
      </c>
      <c r="M38" s="1">
        <v>21.85</v>
      </c>
      <c r="N38">
        <v>21.07</v>
      </c>
      <c r="O38" s="1">
        <v>21.5</v>
      </c>
      <c r="P38" s="1">
        <v>-0.35</v>
      </c>
      <c r="Q38" s="1">
        <v>23.650000000000002</v>
      </c>
      <c r="R38" s="1">
        <v>1.8</v>
      </c>
      <c r="S38" s="1">
        <v>20.5</v>
      </c>
      <c r="T38">
        <v>0</v>
      </c>
      <c r="U38">
        <v>2</v>
      </c>
      <c r="V38">
        <v>1</v>
      </c>
      <c r="W38">
        <v>8</v>
      </c>
      <c r="X38">
        <v>1</v>
      </c>
      <c r="Y38">
        <v>12</v>
      </c>
      <c r="Z38">
        <v>8</v>
      </c>
      <c r="AA38">
        <v>1</v>
      </c>
      <c r="AB38">
        <v>1</v>
      </c>
      <c r="AC38">
        <v>17</v>
      </c>
      <c r="AD38">
        <v>3</v>
      </c>
      <c r="AE38">
        <v>2</v>
      </c>
      <c r="AF38">
        <v>2</v>
      </c>
      <c r="AG38">
        <v>2</v>
      </c>
      <c r="AH38">
        <v>1</v>
      </c>
      <c r="AI38">
        <v>1</v>
      </c>
      <c r="AJ38">
        <v>0</v>
      </c>
      <c r="AK38">
        <v>2</v>
      </c>
      <c r="AL38">
        <v>10</v>
      </c>
      <c r="AM38">
        <v>2</v>
      </c>
      <c r="AN38">
        <v>7</v>
      </c>
      <c r="AO38">
        <v>8</v>
      </c>
      <c r="AP38">
        <v>6</v>
      </c>
      <c r="AQ38">
        <v>21</v>
      </c>
      <c r="AR38">
        <v>3</v>
      </c>
      <c r="AS38">
        <v>10</v>
      </c>
      <c r="AT38">
        <v>7</v>
      </c>
      <c r="AU38">
        <v>1</v>
      </c>
      <c r="AV38">
        <v>15</v>
      </c>
      <c r="AW38">
        <v>6</v>
      </c>
      <c r="AX38">
        <v>1</v>
      </c>
      <c r="AY38">
        <v>1</v>
      </c>
      <c r="AZ38">
        <v>20</v>
      </c>
      <c r="BA38">
        <v>3</v>
      </c>
      <c r="BB38">
        <v>3</v>
      </c>
      <c r="BC38">
        <v>3</v>
      </c>
      <c r="BD38">
        <v>1</v>
      </c>
      <c r="BE38">
        <v>1</v>
      </c>
      <c r="BF38">
        <v>2</v>
      </c>
      <c r="BG38">
        <v>0</v>
      </c>
      <c r="BH38">
        <v>2</v>
      </c>
      <c r="BI38">
        <v>12</v>
      </c>
      <c r="BJ38">
        <v>2</v>
      </c>
      <c r="BK38">
        <v>7</v>
      </c>
      <c r="BL38">
        <v>5</v>
      </c>
      <c r="BM38">
        <v>6</v>
      </c>
      <c r="BN38">
        <v>18</v>
      </c>
      <c r="BO38">
        <v>4</v>
      </c>
      <c r="BP38">
        <v>15</v>
      </c>
      <c r="BQ38">
        <v>4</v>
      </c>
      <c r="BR38">
        <v>2</v>
      </c>
      <c r="BS38">
        <v>2</v>
      </c>
      <c r="BT38">
        <v>4</v>
      </c>
      <c r="BU38">
        <v>2</v>
      </c>
      <c r="BV38">
        <v>2</v>
      </c>
      <c r="BW38">
        <v>4</v>
      </c>
      <c r="BX38">
        <v>2</v>
      </c>
      <c r="BY38">
        <v>2</v>
      </c>
      <c r="BZ38">
        <v>2</v>
      </c>
      <c r="CA38">
        <v>1</v>
      </c>
      <c r="CB38">
        <v>2</v>
      </c>
      <c r="CC38">
        <v>14</v>
      </c>
      <c r="CD38">
        <v>1</v>
      </c>
      <c r="CE38">
        <v>1</v>
      </c>
      <c r="CF38">
        <v>1</v>
      </c>
      <c r="CG38">
        <v>32</v>
      </c>
      <c r="CH38">
        <v>35</v>
      </c>
      <c r="CI38">
        <v>36</v>
      </c>
      <c r="CJ38">
        <v>34</v>
      </c>
      <c r="CK38">
        <v>35</v>
      </c>
      <c r="CL38">
        <v>33</v>
      </c>
      <c r="CM38">
        <v>29</v>
      </c>
      <c r="CN38">
        <v>32</v>
      </c>
      <c r="CO38">
        <v>27</v>
      </c>
      <c r="CP38" s="26">
        <v>25</v>
      </c>
      <c r="CQ38" s="20">
        <v>7</v>
      </c>
      <c r="CR38" s="24">
        <v>23.654761904761902</v>
      </c>
      <c r="CS38" s="24">
        <v>23.964285714285715</v>
      </c>
      <c r="CT38" s="24">
        <v>7.4285714285714288</v>
      </c>
      <c r="CU38" s="24">
        <v>466.42857142857144</v>
      </c>
      <c r="CV38" s="24">
        <v>390.71428571428572</v>
      </c>
      <c r="CW38" s="24">
        <v>18.571428571428573</v>
      </c>
      <c r="CX38" s="24">
        <v>83.611384370005069</v>
      </c>
      <c r="CY38" s="25">
        <v>57.142857142857146</v>
      </c>
      <c r="CZ38" s="20">
        <v>7</v>
      </c>
      <c r="DA38" s="24">
        <v>23.654761904761902</v>
      </c>
      <c r="DB38" s="24">
        <v>23.807142857142857</v>
      </c>
      <c r="DC38" s="24">
        <v>8.0238095238095237</v>
      </c>
      <c r="DD38" s="24">
        <v>8.0714285714285712</v>
      </c>
      <c r="DE38" s="24">
        <v>505</v>
      </c>
      <c r="DF38" s="24">
        <v>460.42857142857144</v>
      </c>
      <c r="DG38" s="24">
        <v>9.1428571428571423</v>
      </c>
      <c r="DH38" s="24">
        <v>91.27428571428571</v>
      </c>
      <c r="DI38" s="24">
        <v>32.142857142857146</v>
      </c>
      <c r="DJ38" s="24">
        <v>93.65479840800937</v>
      </c>
      <c r="DK38" s="24">
        <v>92.027928870963919</v>
      </c>
      <c r="DL38" s="25">
        <v>92.940363843645997</v>
      </c>
      <c r="DM38" s="20">
        <v>24</v>
      </c>
      <c r="DN38" s="24">
        <v>21.697916666666668</v>
      </c>
      <c r="DO38" s="24">
        <v>23.034722222222218</v>
      </c>
      <c r="DP38" s="24">
        <v>7.541666666666667</v>
      </c>
      <c r="DQ38" s="24">
        <v>590.625</v>
      </c>
      <c r="DR38" s="24">
        <v>428.33333333333331</v>
      </c>
      <c r="DS38" s="24">
        <v>80.208333333333329</v>
      </c>
      <c r="DT38" s="24">
        <v>72.526847543555576</v>
      </c>
      <c r="DU38" s="25">
        <v>82.083333333333329</v>
      </c>
      <c r="DV38" s="20">
        <v>24</v>
      </c>
      <c r="DW38" s="24">
        <v>21.760869565217391</v>
      </c>
      <c r="DX38" s="24">
        <v>22.037681159420291</v>
      </c>
      <c r="DY38" s="24">
        <v>7.3876811594202891</v>
      </c>
      <c r="DZ38" s="24">
        <v>7.5434782608695654</v>
      </c>
      <c r="EA38" s="24">
        <v>586.95652173913038</v>
      </c>
      <c r="EB38" s="24">
        <v>509.56521739130437</v>
      </c>
      <c r="EC38" s="24">
        <v>509.56521739130437</v>
      </c>
      <c r="ED38" s="24">
        <v>86.974782608695676</v>
      </c>
      <c r="EE38" s="24">
        <v>50.478260869565219</v>
      </c>
      <c r="EF38" s="24">
        <v>86.510144285447055</v>
      </c>
      <c r="EG38" s="24">
        <v>90.64110374458059</v>
      </c>
      <c r="EH38" s="25">
        <v>89.468797423294632</v>
      </c>
      <c r="EI38" s="20">
        <v>24</v>
      </c>
      <c r="EJ38" s="24">
        <v>21.697916666666668</v>
      </c>
      <c r="EK38" s="24">
        <v>23.034722222222218</v>
      </c>
      <c r="EL38" s="24">
        <v>7.541666666666667</v>
      </c>
      <c r="EM38" s="24">
        <v>590.625</v>
      </c>
      <c r="EN38" s="24">
        <v>428.33333333333331</v>
      </c>
      <c r="EO38" s="24">
        <v>80.208333333333329</v>
      </c>
      <c r="EP38" s="24">
        <v>72.526847543555576</v>
      </c>
      <c r="EQ38" s="25">
        <v>82.083333333333329</v>
      </c>
      <c r="ER38" s="20">
        <v>22</v>
      </c>
      <c r="ES38" s="24">
        <v>21.704545454545453</v>
      </c>
      <c r="ET38" s="24">
        <v>21.985606060606059</v>
      </c>
      <c r="EU38" s="24">
        <v>7.3560606060606055</v>
      </c>
      <c r="EV38" s="24">
        <v>7.5113636363636367</v>
      </c>
      <c r="EW38" s="24">
        <v>588.40909090909088</v>
      </c>
      <c r="EX38" s="24">
        <v>510.40909090909093</v>
      </c>
      <c r="EY38" s="24">
        <v>16.863636363636363</v>
      </c>
      <c r="EZ38" s="24">
        <v>86.90681818181821</v>
      </c>
      <c r="FA38" s="24">
        <v>50.81818181818182</v>
      </c>
      <c r="FB38" s="24">
        <v>86.707779836505466</v>
      </c>
      <c r="FC38" s="24">
        <v>90.46139961503448</v>
      </c>
      <c r="FD38" s="24">
        <v>89.235806642780986</v>
      </c>
    </row>
    <row r="39" spans="1:160" x14ac:dyDescent="0.25">
      <c r="A39">
        <v>4090</v>
      </c>
      <c r="B39">
        <v>2</v>
      </c>
      <c r="C39">
        <v>20</v>
      </c>
      <c r="D39" s="1">
        <v>1.6</v>
      </c>
      <c r="E39">
        <v>71</v>
      </c>
      <c r="F39">
        <v>27.73</v>
      </c>
      <c r="G39">
        <v>2</v>
      </c>
      <c r="H39">
        <v>20</v>
      </c>
      <c r="I39">
        <v>20</v>
      </c>
      <c r="J39">
        <v>1</v>
      </c>
      <c r="K39">
        <v>2</v>
      </c>
      <c r="L39">
        <v>3</v>
      </c>
      <c r="M39" s="1">
        <v>24.2</v>
      </c>
      <c r="O39" s="1">
        <v>22</v>
      </c>
      <c r="P39" s="1">
        <v>-2.2000000000000002</v>
      </c>
      <c r="Q39" s="1">
        <v>25.27</v>
      </c>
      <c r="R39" s="1">
        <v>1.07</v>
      </c>
      <c r="S39" s="1">
        <v>21</v>
      </c>
      <c r="T39">
        <v>0</v>
      </c>
      <c r="U39">
        <v>2</v>
      </c>
      <c r="V39">
        <v>0</v>
      </c>
      <c r="W39">
        <v>7</v>
      </c>
      <c r="X39">
        <v>1</v>
      </c>
      <c r="Y39">
        <v>11</v>
      </c>
      <c r="Z39">
        <v>19</v>
      </c>
      <c r="AA39">
        <v>2</v>
      </c>
      <c r="AB39">
        <v>1</v>
      </c>
      <c r="AC39">
        <v>19</v>
      </c>
      <c r="AD39">
        <v>3</v>
      </c>
      <c r="AE39">
        <v>2</v>
      </c>
      <c r="AF39">
        <v>3</v>
      </c>
      <c r="AG39">
        <v>0</v>
      </c>
      <c r="AH39">
        <v>2</v>
      </c>
      <c r="AI39">
        <v>1</v>
      </c>
      <c r="AJ39">
        <v>0</v>
      </c>
      <c r="AK39">
        <v>1</v>
      </c>
      <c r="AL39">
        <v>9</v>
      </c>
      <c r="AM39">
        <v>2</v>
      </c>
      <c r="AN39">
        <v>8</v>
      </c>
      <c r="AO39">
        <v>4</v>
      </c>
      <c r="AP39">
        <v>6</v>
      </c>
      <c r="AQ39">
        <v>18</v>
      </c>
      <c r="AR39">
        <v>5</v>
      </c>
      <c r="AS39">
        <v>10</v>
      </c>
      <c r="AT39">
        <v>6</v>
      </c>
      <c r="AU39">
        <v>1</v>
      </c>
      <c r="AV39">
        <v>6</v>
      </c>
      <c r="AW39">
        <v>23</v>
      </c>
      <c r="AX39">
        <v>2</v>
      </c>
      <c r="AY39">
        <v>2</v>
      </c>
      <c r="AZ39">
        <v>10</v>
      </c>
      <c r="BA39">
        <v>2</v>
      </c>
      <c r="BB39">
        <v>1</v>
      </c>
      <c r="BC39">
        <v>2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6</v>
      </c>
      <c r="BJ39">
        <v>2</v>
      </c>
      <c r="BK39">
        <v>4</v>
      </c>
      <c r="BL39">
        <v>2</v>
      </c>
      <c r="BM39">
        <v>2</v>
      </c>
      <c r="BN39">
        <v>8</v>
      </c>
      <c r="BO39">
        <v>0</v>
      </c>
      <c r="BP39">
        <v>2</v>
      </c>
      <c r="BQ39">
        <v>4</v>
      </c>
      <c r="BR39">
        <v>2</v>
      </c>
      <c r="BS39">
        <v>2</v>
      </c>
      <c r="BT39">
        <v>3</v>
      </c>
      <c r="BU39">
        <v>2</v>
      </c>
      <c r="BV39">
        <v>1</v>
      </c>
      <c r="BW39">
        <v>3</v>
      </c>
      <c r="BX39">
        <v>2</v>
      </c>
      <c r="BY39">
        <v>1</v>
      </c>
      <c r="BZ39">
        <v>2</v>
      </c>
      <c r="CA39">
        <v>3</v>
      </c>
      <c r="CB39">
        <v>1</v>
      </c>
      <c r="CC39">
        <v>5</v>
      </c>
      <c r="CD39">
        <v>5</v>
      </c>
      <c r="CE39">
        <v>2</v>
      </c>
      <c r="CF39">
        <v>2</v>
      </c>
      <c r="CG39">
        <v>27</v>
      </c>
      <c r="CH39">
        <v>18</v>
      </c>
      <c r="CI39">
        <v>20</v>
      </c>
      <c r="CJ39">
        <v>20</v>
      </c>
      <c r="CK39">
        <v>19</v>
      </c>
      <c r="CL39">
        <v>24</v>
      </c>
      <c r="CM39">
        <v>18</v>
      </c>
      <c r="CN39">
        <v>15</v>
      </c>
      <c r="CO39">
        <v>16</v>
      </c>
      <c r="CP39" s="26">
        <v>17</v>
      </c>
      <c r="CQ39" s="20">
        <v>7</v>
      </c>
      <c r="CR39" s="24">
        <v>25.273809523809522</v>
      </c>
      <c r="CS39" s="24">
        <v>26.523809523809522</v>
      </c>
      <c r="CT39" s="24">
        <v>9.9761904761904763</v>
      </c>
      <c r="CU39" s="24">
        <v>522.14285714285711</v>
      </c>
      <c r="CV39" s="24">
        <v>316.42857142857144</v>
      </c>
      <c r="CW39" s="24">
        <v>75</v>
      </c>
      <c r="CX39" s="24">
        <v>57.428960510208675</v>
      </c>
      <c r="CY39" s="25">
        <v>130.71428571428572</v>
      </c>
      <c r="CZ39" s="20">
        <v>7</v>
      </c>
      <c r="DA39" s="24">
        <v>25.273809523809522</v>
      </c>
      <c r="DB39" s="24">
        <v>25.623809523809523</v>
      </c>
      <c r="DC39" s="24">
        <v>9.7404761904761905</v>
      </c>
      <c r="DD39" s="24">
        <v>9.9761904761904763</v>
      </c>
      <c r="DE39" s="24">
        <v>522.14285714285711</v>
      </c>
      <c r="DF39" s="24">
        <v>433.71428571428572</v>
      </c>
      <c r="DG39" s="24">
        <v>21</v>
      </c>
      <c r="DH39" s="24">
        <v>82.912857142857135</v>
      </c>
      <c r="DI39" s="24">
        <v>53.285714285714285</v>
      </c>
      <c r="DJ39" s="24">
        <v>81.872254734654376</v>
      </c>
      <c r="DK39" s="24">
        <v>89.692175579775935</v>
      </c>
      <c r="DL39" s="25">
        <v>84.701870983671824</v>
      </c>
      <c r="DM39" s="20">
        <v>22</v>
      </c>
      <c r="DN39" s="24">
        <v>23.496212121212125</v>
      </c>
      <c r="DO39" s="24">
        <v>24.393939393939398</v>
      </c>
      <c r="DP39" s="24">
        <v>8.625</v>
      </c>
      <c r="DQ39" s="24">
        <v>482.27272727272725</v>
      </c>
      <c r="DR39" s="24">
        <v>356.81818181818181</v>
      </c>
      <c r="DS39" s="24">
        <v>53.863636363636367</v>
      </c>
      <c r="DT39" s="24">
        <v>73.97022916170657</v>
      </c>
      <c r="DU39" s="25">
        <v>75.681818181818187</v>
      </c>
      <c r="DV39" s="20">
        <v>22</v>
      </c>
      <c r="DW39" s="24">
        <v>24.234126984126984</v>
      </c>
      <c r="DX39" s="24">
        <v>24.459523809523809</v>
      </c>
      <c r="DY39" s="24">
        <v>8.0261904761904752</v>
      </c>
      <c r="DZ39" s="24">
        <v>8.2857142857142865</v>
      </c>
      <c r="EA39" s="24">
        <v>483.09523809523807</v>
      </c>
      <c r="EB39" s="24">
        <v>407.28571428571428</v>
      </c>
      <c r="EC39" s="24">
        <v>407.28571428571428</v>
      </c>
      <c r="ED39" s="24">
        <v>84.313333333333333</v>
      </c>
      <c r="EE39" s="24">
        <v>46.714285714285715</v>
      </c>
      <c r="EF39" s="24">
        <v>85.823678324595519</v>
      </c>
      <c r="EG39" s="24">
        <v>89.865805406851152</v>
      </c>
      <c r="EH39" s="25">
        <v>85.56322188481488</v>
      </c>
      <c r="EI39" s="20">
        <v>8</v>
      </c>
      <c r="EJ39" s="24">
        <v>22.40625</v>
      </c>
      <c r="EK39" s="24">
        <v>23.65625</v>
      </c>
      <c r="EL39" s="24">
        <v>7.5416666666666661</v>
      </c>
      <c r="EM39" s="24">
        <v>548.125</v>
      </c>
      <c r="EN39" s="24">
        <v>390.625</v>
      </c>
      <c r="EO39" s="24">
        <v>75</v>
      </c>
      <c r="EP39" s="24">
        <v>72.036791467525035</v>
      </c>
      <c r="EQ39" s="25">
        <v>82.5</v>
      </c>
      <c r="ER39" s="20">
        <v>3</v>
      </c>
      <c r="ES39" s="24">
        <v>22.777777777777775</v>
      </c>
      <c r="ET39" s="24">
        <v>22.916666666666668</v>
      </c>
      <c r="EU39" s="24">
        <v>8.4722222222222214</v>
      </c>
      <c r="EV39" s="24">
        <v>8.9444444444444446</v>
      </c>
      <c r="EW39" s="24">
        <v>610</v>
      </c>
      <c r="EX39" s="24">
        <v>503.33333333333331</v>
      </c>
      <c r="EY39" s="24">
        <v>8.3333333333333339</v>
      </c>
      <c r="EZ39" s="24">
        <v>82.00333333333333</v>
      </c>
      <c r="FA39" s="24">
        <v>70</v>
      </c>
      <c r="FB39" s="24">
        <v>85.367494824016561</v>
      </c>
      <c r="FC39" s="24">
        <v>89.174430641821957</v>
      </c>
      <c r="FD39" s="24">
        <v>80.828157349896472</v>
      </c>
    </row>
    <row r="40" spans="1:160" x14ac:dyDescent="0.25">
      <c r="A40">
        <v>4095</v>
      </c>
      <c r="B40">
        <v>2</v>
      </c>
      <c r="C40">
        <v>40</v>
      </c>
      <c r="D40" s="1">
        <v>1.65</v>
      </c>
      <c r="E40">
        <v>54</v>
      </c>
      <c r="F40">
        <v>19.829999999999998</v>
      </c>
      <c r="G40">
        <v>2</v>
      </c>
      <c r="H40">
        <v>18</v>
      </c>
      <c r="I40">
        <v>19</v>
      </c>
      <c r="J40">
        <v>1</v>
      </c>
      <c r="K40">
        <v>1</v>
      </c>
      <c r="L40">
        <v>3</v>
      </c>
      <c r="M40" s="1">
        <v>20.7</v>
      </c>
      <c r="N40">
        <v>19.98</v>
      </c>
      <c r="O40" s="1">
        <v>21</v>
      </c>
      <c r="P40" s="1">
        <v>0.3</v>
      </c>
      <c r="Q40" s="1">
        <v>22.96</v>
      </c>
      <c r="R40" s="1">
        <v>2.2599999999999998</v>
      </c>
      <c r="S40" s="1">
        <v>20</v>
      </c>
      <c r="T40">
        <v>2</v>
      </c>
      <c r="U40">
        <v>2</v>
      </c>
      <c r="V40">
        <v>0</v>
      </c>
      <c r="W40">
        <v>9</v>
      </c>
      <c r="X40">
        <v>1</v>
      </c>
      <c r="Y40">
        <v>11</v>
      </c>
      <c r="Z40">
        <v>19</v>
      </c>
      <c r="AA40">
        <v>2</v>
      </c>
      <c r="AB40">
        <v>1</v>
      </c>
      <c r="AC40">
        <v>19</v>
      </c>
      <c r="AD40">
        <v>3</v>
      </c>
      <c r="AE40">
        <v>2</v>
      </c>
      <c r="AF40">
        <v>3</v>
      </c>
      <c r="AG40">
        <v>0</v>
      </c>
      <c r="AH40">
        <v>2</v>
      </c>
      <c r="AI40">
        <v>1</v>
      </c>
      <c r="AJ40">
        <v>0</v>
      </c>
      <c r="AK40">
        <v>2</v>
      </c>
      <c r="AL40">
        <v>10</v>
      </c>
      <c r="AM40">
        <v>2</v>
      </c>
      <c r="AN40">
        <v>8</v>
      </c>
      <c r="AO40">
        <v>4</v>
      </c>
      <c r="AP40">
        <v>6</v>
      </c>
      <c r="AQ40">
        <v>18</v>
      </c>
      <c r="AR40">
        <v>0</v>
      </c>
      <c r="AS40">
        <v>2</v>
      </c>
      <c r="AT40">
        <v>4</v>
      </c>
      <c r="AU40">
        <v>1</v>
      </c>
      <c r="AV40">
        <v>2</v>
      </c>
      <c r="AW40">
        <v>2</v>
      </c>
      <c r="AX40">
        <v>1</v>
      </c>
      <c r="AY40">
        <v>1</v>
      </c>
      <c r="AZ40">
        <v>7</v>
      </c>
      <c r="BA40">
        <v>1</v>
      </c>
      <c r="BB40">
        <v>1</v>
      </c>
      <c r="BC40">
        <v>1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4</v>
      </c>
      <c r="BJ40">
        <v>1</v>
      </c>
      <c r="BK40">
        <v>2</v>
      </c>
      <c r="BL40">
        <v>2</v>
      </c>
      <c r="BM40">
        <v>2</v>
      </c>
      <c r="BN40">
        <v>6</v>
      </c>
      <c r="BO40">
        <v>0</v>
      </c>
      <c r="BP40">
        <v>1</v>
      </c>
      <c r="BQ40">
        <v>3</v>
      </c>
      <c r="BR40">
        <v>2</v>
      </c>
      <c r="BS40">
        <v>1</v>
      </c>
      <c r="BT40">
        <v>1</v>
      </c>
      <c r="BU40">
        <v>1</v>
      </c>
      <c r="BV40">
        <v>1</v>
      </c>
      <c r="BW40">
        <v>2</v>
      </c>
      <c r="BX40">
        <v>1</v>
      </c>
      <c r="BY40">
        <v>1</v>
      </c>
      <c r="BZ40">
        <v>1</v>
      </c>
      <c r="CA40">
        <v>4</v>
      </c>
      <c r="CB40">
        <v>2</v>
      </c>
      <c r="CC40">
        <v>2</v>
      </c>
      <c r="CD40">
        <v>6</v>
      </c>
      <c r="CE40">
        <v>2</v>
      </c>
      <c r="CF40">
        <v>2</v>
      </c>
      <c r="CG40">
        <v>25</v>
      </c>
      <c r="CH40">
        <v>21</v>
      </c>
      <c r="CI40">
        <v>17</v>
      </c>
      <c r="CJ40">
        <v>18</v>
      </c>
      <c r="CK40">
        <v>27</v>
      </c>
      <c r="CL40">
        <v>12</v>
      </c>
      <c r="CM40">
        <v>12</v>
      </c>
      <c r="CN40">
        <v>12</v>
      </c>
      <c r="CO40">
        <v>14</v>
      </c>
      <c r="CP40" s="26">
        <v>13</v>
      </c>
      <c r="CQ40" s="20">
        <v>7</v>
      </c>
      <c r="CR40" s="24">
        <v>22.964285714285715</v>
      </c>
      <c r="CS40" s="24">
        <v>23.678571428571423</v>
      </c>
      <c r="CT40" s="24">
        <v>6.3928571428571432</v>
      </c>
      <c r="CU40" s="24">
        <v>445.71428571428572</v>
      </c>
      <c r="CV40" s="24">
        <v>347.85714285714283</v>
      </c>
      <c r="CW40" s="24">
        <v>42.857142857142854</v>
      </c>
      <c r="CX40" s="24">
        <v>76.696508340672082</v>
      </c>
      <c r="CY40" s="25">
        <v>55</v>
      </c>
      <c r="CZ40" s="20">
        <v>7</v>
      </c>
      <c r="DA40" s="24">
        <v>22.964285714285715</v>
      </c>
      <c r="DB40" s="24">
        <v>23.35</v>
      </c>
      <c r="DC40" s="24">
        <v>6.1119047619047615</v>
      </c>
      <c r="DD40" s="24">
        <v>6.3928571428571432</v>
      </c>
      <c r="DE40" s="24">
        <v>445.71428571428572</v>
      </c>
      <c r="DF40" s="24">
        <v>371</v>
      </c>
      <c r="DG40" s="24">
        <v>23.142857142857142</v>
      </c>
      <c r="DH40" s="24">
        <v>82.474285714285699</v>
      </c>
      <c r="DI40" s="24">
        <v>34.714285714285715</v>
      </c>
      <c r="DJ40" s="24">
        <v>81.447088349509855</v>
      </c>
      <c r="DK40" s="24">
        <v>89.945178273738634</v>
      </c>
      <c r="DL40" s="25">
        <v>91.088247750179889</v>
      </c>
      <c r="DM40" s="20">
        <v>20</v>
      </c>
      <c r="DN40" s="24">
        <v>21.575000000000006</v>
      </c>
      <c r="DO40" s="24">
        <v>22.016666666666673</v>
      </c>
      <c r="DP40" s="24">
        <v>5.2666666666666675</v>
      </c>
      <c r="DQ40" s="24">
        <v>461.5</v>
      </c>
      <c r="DR40" s="24">
        <v>398.75</v>
      </c>
      <c r="DS40" s="24">
        <v>26.5</v>
      </c>
      <c r="DT40" s="24">
        <v>86.514087855913175</v>
      </c>
      <c r="DU40" s="25">
        <v>36.25</v>
      </c>
      <c r="DV40" s="20">
        <v>20</v>
      </c>
      <c r="DW40" s="24">
        <v>21.283333333333339</v>
      </c>
      <c r="DX40" s="24">
        <v>21.629824561403506</v>
      </c>
      <c r="DY40" s="24">
        <v>4.5841666666666665</v>
      </c>
      <c r="DZ40" s="24">
        <v>5.041666666666667</v>
      </c>
      <c r="EA40" s="24">
        <v>465.5</v>
      </c>
      <c r="EB40" s="24">
        <v>387.15789473684208</v>
      </c>
      <c r="EC40" s="24">
        <v>387.15789473684208</v>
      </c>
      <c r="ED40" s="24">
        <v>83.250526315789472</v>
      </c>
      <c r="EE40" s="24">
        <v>30.631578947368421</v>
      </c>
      <c r="EF40" s="24">
        <v>83.309117484239778</v>
      </c>
      <c r="EG40" s="24">
        <v>93.203613149474592</v>
      </c>
      <c r="EH40" s="25">
        <v>88.926229758490734</v>
      </c>
      <c r="EI40" s="20">
        <v>19</v>
      </c>
      <c r="EJ40" s="24">
        <v>21.184210526315791</v>
      </c>
      <c r="EK40" s="24">
        <v>21.640350877192986</v>
      </c>
      <c r="EL40" s="24">
        <v>5.0438596491228074</v>
      </c>
      <c r="EM40" s="24">
        <v>471.57894736842104</v>
      </c>
      <c r="EN40" s="24">
        <v>406.84210526315792</v>
      </c>
      <c r="EO40" s="24">
        <v>27.368421052631579</v>
      </c>
      <c r="EP40" s="24">
        <v>86.291632440922257</v>
      </c>
      <c r="EQ40" s="25">
        <v>37.368421052631582</v>
      </c>
      <c r="ER40" s="20">
        <v>19</v>
      </c>
      <c r="ES40" s="24">
        <v>21.228070175438599</v>
      </c>
      <c r="ET40" s="24">
        <v>21.586111111111109</v>
      </c>
      <c r="EU40" s="24">
        <v>4.5815789473684205</v>
      </c>
      <c r="EV40" s="24">
        <v>5.0438596491228074</v>
      </c>
      <c r="EW40" s="24">
        <v>468.94736842105266</v>
      </c>
      <c r="EX40" s="24">
        <v>389.16666666666669</v>
      </c>
      <c r="EY40" s="24">
        <v>21.277777777777779</v>
      </c>
      <c r="EZ40" s="24">
        <v>83.00055555555555</v>
      </c>
      <c r="FA40" s="24">
        <v>31.111111111111111</v>
      </c>
      <c r="FB40" s="24">
        <v>82.883099366196291</v>
      </c>
      <c r="FC40" s="24">
        <v>93.12291688864363</v>
      </c>
      <c r="FD40" s="24">
        <v>89.207500295661887</v>
      </c>
    </row>
    <row r="41" spans="1:160" x14ac:dyDescent="0.25">
      <c r="A41">
        <v>4100</v>
      </c>
      <c r="B41">
        <v>2</v>
      </c>
      <c r="C41">
        <v>17</v>
      </c>
      <c r="D41" s="1">
        <v>1.82</v>
      </c>
      <c r="E41">
        <v>67</v>
      </c>
      <c r="F41">
        <v>20.23</v>
      </c>
      <c r="G41">
        <v>1</v>
      </c>
      <c r="H41">
        <v>13</v>
      </c>
      <c r="I41">
        <v>28</v>
      </c>
      <c r="J41">
        <v>2</v>
      </c>
      <c r="K41">
        <v>2</v>
      </c>
      <c r="L41">
        <v>3</v>
      </c>
      <c r="M41" s="1">
        <v>20.23</v>
      </c>
      <c r="N41">
        <v>20.77</v>
      </c>
      <c r="O41" s="1">
        <v>20.5</v>
      </c>
      <c r="P41" s="1">
        <v>0.27</v>
      </c>
      <c r="Q41" s="1">
        <v>23.26</v>
      </c>
      <c r="R41" s="1">
        <v>3.03</v>
      </c>
      <c r="S41" s="1">
        <v>19.5</v>
      </c>
      <c r="T41">
        <v>0</v>
      </c>
      <c r="U41">
        <v>2</v>
      </c>
      <c r="V41">
        <v>0</v>
      </c>
      <c r="W41">
        <v>7</v>
      </c>
      <c r="X41">
        <v>1</v>
      </c>
      <c r="Y41">
        <v>3</v>
      </c>
      <c r="Z41">
        <v>4</v>
      </c>
      <c r="AA41">
        <v>1</v>
      </c>
      <c r="AB41">
        <v>1</v>
      </c>
      <c r="AC41">
        <v>8</v>
      </c>
      <c r="AD41">
        <v>2</v>
      </c>
      <c r="AE41">
        <v>2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6</v>
      </c>
      <c r="AM41">
        <v>2</v>
      </c>
      <c r="AN41">
        <v>5</v>
      </c>
      <c r="AO41">
        <v>2</v>
      </c>
      <c r="AP41">
        <v>7</v>
      </c>
      <c r="AQ41">
        <v>14</v>
      </c>
      <c r="AR41">
        <v>0</v>
      </c>
      <c r="AS41">
        <v>0</v>
      </c>
      <c r="AT41">
        <v>9</v>
      </c>
      <c r="AU41">
        <v>1</v>
      </c>
      <c r="AV41">
        <v>1</v>
      </c>
      <c r="AW41">
        <v>8</v>
      </c>
      <c r="AX41">
        <v>1</v>
      </c>
      <c r="AY41">
        <v>1</v>
      </c>
      <c r="AZ41">
        <v>12</v>
      </c>
      <c r="BA41">
        <v>2</v>
      </c>
      <c r="BB41">
        <v>2</v>
      </c>
      <c r="BC41">
        <v>3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7</v>
      </c>
      <c r="BJ41">
        <v>2</v>
      </c>
      <c r="BK41">
        <v>6</v>
      </c>
      <c r="BL41">
        <v>6</v>
      </c>
      <c r="BM41">
        <v>6</v>
      </c>
      <c r="BN41">
        <v>18</v>
      </c>
      <c r="BO41">
        <v>0</v>
      </c>
      <c r="BP41">
        <v>2</v>
      </c>
      <c r="BQ41">
        <v>4</v>
      </c>
      <c r="BR41">
        <v>2</v>
      </c>
      <c r="BS41">
        <v>2</v>
      </c>
      <c r="BT41">
        <v>3</v>
      </c>
      <c r="BU41">
        <v>2</v>
      </c>
      <c r="BV41">
        <v>1</v>
      </c>
      <c r="BW41">
        <v>3</v>
      </c>
      <c r="BX41">
        <v>2</v>
      </c>
      <c r="BY41">
        <v>1</v>
      </c>
      <c r="BZ41">
        <v>2</v>
      </c>
      <c r="CA41">
        <v>2</v>
      </c>
      <c r="CB41">
        <v>1</v>
      </c>
      <c r="CC41">
        <v>9</v>
      </c>
      <c r="CD41">
        <v>2</v>
      </c>
      <c r="CE41">
        <v>1</v>
      </c>
      <c r="CF41">
        <v>1</v>
      </c>
      <c r="CG41">
        <v>22</v>
      </c>
      <c r="CH41">
        <v>20</v>
      </c>
      <c r="CI41">
        <v>23</v>
      </c>
      <c r="CJ41">
        <v>27</v>
      </c>
      <c r="CK41">
        <v>25</v>
      </c>
      <c r="CL41">
        <v>26</v>
      </c>
      <c r="CM41">
        <v>25</v>
      </c>
      <c r="CN41">
        <v>14</v>
      </c>
      <c r="CO41">
        <v>23</v>
      </c>
      <c r="CP41" s="26">
        <v>20</v>
      </c>
      <c r="CQ41" s="20">
        <v>7</v>
      </c>
      <c r="CR41" s="24">
        <v>23.185714285714287</v>
      </c>
      <c r="CS41" s="24">
        <v>23.661904761904765</v>
      </c>
      <c r="CT41" s="24">
        <v>7.4047619047619051</v>
      </c>
      <c r="CU41" s="24">
        <v>493.14285714285717</v>
      </c>
      <c r="CV41" s="24">
        <v>448.57142857142856</v>
      </c>
      <c r="CW41" s="24">
        <v>28.571428571428573</v>
      </c>
      <c r="CX41" s="24">
        <v>90.771375015019075</v>
      </c>
      <c r="CY41" s="25">
        <v>16</v>
      </c>
      <c r="CZ41" s="20">
        <v>7</v>
      </c>
      <c r="DA41" s="24">
        <v>23.25714285714286</v>
      </c>
      <c r="DB41" s="24">
        <v>23.597619047619048</v>
      </c>
      <c r="DC41" s="24">
        <v>7.1119047619047615</v>
      </c>
      <c r="DD41" s="24">
        <v>7.4047619047619051</v>
      </c>
      <c r="DE41" s="24">
        <v>488.85714285714283</v>
      </c>
      <c r="DF41" s="24">
        <v>378.71428571428572</v>
      </c>
      <c r="DG41" s="24">
        <v>20.428571428571427</v>
      </c>
      <c r="DH41" s="24">
        <v>77.417142857142849</v>
      </c>
      <c r="DI41" s="24">
        <v>72.142857142857139</v>
      </c>
      <c r="DJ41" s="24">
        <v>79.590558393289612</v>
      </c>
      <c r="DK41" s="24">
        <v>89.618245492546279</v>
      </c>
      <c r="DL41" s="25">
        <v>71.116502768051362</v>
      </c>
      <c r="DM41" s="20">
        <v>10</v>
      </c>
      <c r="DN41" s="24">
        <v>21.821666666666665</v>
      </c>
      <c r="DO41" s="24">
        <v>22.629999999999995</v>
      </c>
      <c r="DP41" s="24">
        <v>6.9916666666666654</v>
      </c>
      <c r="DQ41" s="24">
        <v>550.20000000000005</v>
      </c>
      <c r="DR41" s="24">
        <v>475.4</v>
      </c>
      <c r="DS41" s="24">
        <v>48.5</v>
      </c>
      <c r="DT41" s="24">
        <v>86.581345886612468</v>
      </c>
      <c r="DU41" s="25">
        <v>26.3</v>
      </c>
      <c r="DV41" s="20">
        <v>10</v>
      </c>
      <c r="DW41" s="24">
        <v>21.821666666666665</v>
      </c>
      <c r="DX41" s="24">
        <v>22.721666666666668</v>
      </c>
      <c r="DY41" s="24">
        <v>6.6650000000000009</v>
      </c>
      <c r="DZ41" s="24">
        <v>6.8916666666666657</v>
      </c>
      <c r="EA41" s="24">
        <v>544.20000000000005</v>
      </c>
      <c r="EB41" s="24">
        <v>406.2</v>
      </c>
      <c r="EC41" s="24">
        <v>406.2</v>
      </c>
      <c r="ED41" s="24">
        <v>75.05</v>
      </c>
      <c r="EE41" s="24">
        <v>70.400000000000006</v>
      </c>
      <c r="EF41" s="24">
        <v>70.746268156697212</v>
      </c>
      <c r="EG41" s="24">
        <v>82.664510240405505</v>
      </c>
      <c r="EH41" s="25">
        <v>81.048108577558821</v>
      </c>
      <c r="EI41" s="20">
        <v>7</v>
      </c>
      <c r="EJ41" s="24">
        <v>21.388095238095239</v>
      </c>
      <c r="EK41" s="24">
        <v>22.328571428571429</v>
      </c>
      <c r="EL41" s="24">
        <v>7.1071428571428568</v>
      </c>
      <c r="EM41" s="24">
        <v>583.14285714285711</v>
      </c>
      <c r="EN41" s="24">
        <v>504.85714285714283</v>
      </c>
      <c r="EO41" s="24">
        <v>56.428571428571431</v>
      </c>
      <c r="EP41" s="24">
        <v>86.613168047784612</v>
      </c>
      <c r="EQ41" s="25">
        <v>21.857142857142858</v>
      </c>
      <c r="ER41" s="20">
        <v>7</v>
      </c>
      <c r="ES41" s="24">
        <v>21.388095238095239</v>
      </c>
      <c r="ET41" s="24">
        <v>22.497619047619047</v>
      </c>
      <c r="EU41" s="24">
        <v>6.7357142857142858</v>
      </c>
      <c r="EV41" s="24">
        <v>6.9642857142857144</v>
      </c>
      <c r="EW41" s="24">
        <v>574.57142857142856</v>
      </c>
      <c r="EX41" s="24">
        <v>421</v>
      </c>
      <c r="EY41" s="24">
        <v>66.571428571428569</v>
      </c>
      <c r="EZ41" s="24">
        <v>73.397142857142853</v>
      </c>
      <c r="FA41" s="24">
        <v>73.285714285714292</v>
      </c>
      <c r="FB41" s="24">
        <v>66.865808847002555</v>
      </c>
      <c r="FC41" s="24">
        <v>80.11402249363951</v>
      </c>
      <c r="FD41" s="24">
        <v>85.005645207868426</v>
      </c>
    </row>
    <row r="42" spans="1:160" x14ac:dyDescent="0.25">
      <c r="A42">
        <v>4102</v>
      </c>
      <c r="B42">
        <v>2</v>
      </c>
      <c r="C42">
        <v>17</v>
      </c>
      <c r="D42" s="1">
        <v>1.7</v>
      </c>
      <c r="E42">
        <v>54</v>
      </c>
      <c r="F42">
        <v>18.690000000000001</v>
      </c>
      <c r="G42">
        <v>1</v>
      </c>
      <c r="H42">
        <v>17</v>
      </c>
      <c r="I42">
        <v>22</v>
      </c>
      <c r="J42">
        <v>1</v>
      </c>
      <c r="K42">
        <v>3</v>
      </c>
      <c r="L42">
        <v>3</v>
      </c>
      <c r="M42" s="1">
        <v>21.62</v>
      </c>
      <c r="N42">
        <v>21.72</v>
      </c>
      <c r="O42" s="1">
        <v>21.5</v>
      </c>
      <c r="P42" s="1">
        <v>-0.12</v>
      </c>
      <c r="Q42" s="1">
        <v>24.02</v>
      </c>
      <c r="R42" s="1">
        <v>2.4</v>
      </c>
      <c r="S42" s="1">
        <v>20.5</v>
      </c>
      <c r="T42">
        <v>0</v>
      </c>
      <c r="U42">
        <v>2</v>
      </c>
      <c r="V42">
        <v>0</v>
      </c>
      <c r="W42">
        <v>11</v>
      </c>
      <c r="X42">
        <v>2</v>
      </c>
      <c r="Y42">
        <v>15</v>
      </c>
      <c r="Z42">
        <v>18</v>
      </c>
      <c r="AA42">
        <v>2</v>
      </c>
      <c r="AB42">
        <v>1</v>
      </c>
      <c r="AC42">
        <v>20</v>
      </c>
      <c r="AD42">
        <v>3</v>
      </c>
      <c r="AE42">
        <v>2</v>
      </c>
      <c r="AF42">
        <v>3</v>
      </c>
      <c r="AG42">
        <v>2</v>
      </c>
      <c r="AH42">
        <v>3</v>
      </c>
      <c r="AI42">
        <v>1</v>
      </c>
      <c r="AJ42">
        <v>0</v>
      </c>
      <c r="AK42">
        <v>3</v>
      </c>
      <c r="AL42">
        <v>14</v>
      </c>
      <c r="AM42">
        <v>2</v>
      </c>
      <c r="AN42">
        <v>8</v>
      </c>
      <c r="AO42">
        <v>7</v>
      </c>
      <c r="AP42">
        <v>6</v>
      </c>
      <c r="AQ42">
        <v>21</v>
      </c>
      <c r="AR42">
        <v>9</v>
      </c>
      <c r="AS42">
        <v>8</v>
      </c>
      <c r="AT42">
        <v>12</v>
      </c>
      <c r="AU42">
        <v>2</v>
      </c>
      <c r="AV42">
        <v>6</v>
      </c>
      <c r="AW42">
        <v>17</v>
      </c>
      <c r="AX42">
        <v>2</v>
      </c>
      <c r="AY42">
        <v>1</v>
      </c>
      <c r="AZ42">
        <v>17</v>
      </c>
      <c r="BA42">
        <v>3</v>
      </c>
      <c r="BB42">
        <v>2</v>
      </c>
      <c r="BC42">
        <v>3</v>
      </c>
      <c r="BD42">
        <v>2</v>
      </c>
      <c r="BE42">
        <v>3</v>
      </c>
      <c r="BF42">
        <v>1</v>
      </c>
      <c r="BG42">
        <v>0</v>
      </c>
      <c r="BH42">
        <v>3</v>
      </c>
      <c r="BI42">
        <v>14</v>
      </c>
      <c r="BJ42">
        <v>2</v>
      </c>
      <c r="BK42">
        <v>8</v>
      </c>
      <c r="BL42">
        <v>6</v>
      </c>
      <c r="BM42">
        <v>5</v>
      </c>
      <c r="BN42">
        <v>19</v>
      </c>
      <c r="BO42">
        <v>8</v>
      </c>
      <c r="BP42">
        <v>0</v>
      </c>
      <c r="BQ42">
        <v>6</v>
      </c>
      <c r="BR42">
        <v>2</v>
      </c>
      <c r="BS42">
        <v>2</v>
      </c>
      <c r="BT42">
        <v>4</v>
      </c>
      <c r="BU42">
        <v>2</v>
      </c>
      <c r="BV42">
        <v>2</v>
      </c>
      <c r="BW42">
        <v>4</v>
      </c>
      <c r="BX42">
        <v>2</v>
      </c>
      <c r="BY42">
        <v>2</v>
      </c>
      <c r="BZ42">
        <v>2</v>
      </c>
      <c r="CA42">
        <v>1</v>
      </c>
      <c r="CB42">
        <v>1</v>
      </c>
      <c r="CC42">
        <v>13</v>
      </c>
      <c r="CD42">
        <v>1</v>
      </c>
      <c r="CE42">
        <v>1</v>
      </c>
      <c r="CF42">
        <v>1</v>
      </c>
      <c r="CG42">
        <v>31</v>
      </c>
      <c r="CH42">
        <v>27</v>
      </c>
      <c r="CI42">
        <v>28</v>
      </c>
      <c r="CJ42">
        <v>30</v>
      </c>
      <c r="CK42">
        <v>30</v>
      </c>
      <c r="CL42">
        <v>31</v>
      </c>
      <c r="CM42">
        <v>23</v>
      </c>
      <c r="CN42">
        <v>31</v>
      </c>
      <c r="CO42">
        <v>31</v>
      </c>
      <c r="CP42" s="26">
        <v>32</v>
      </c>
      <c r="CQ42" s="20">
        <v>7</v>
      </c>
      <c r="CR42" s="24">
        <v>23.523809523809522</v>
      </c>
      <c r="CS42" s="24">
        <v>25.904761904761902</v>
      </c>
      <c r="CT42" s="24">
        <v>7.6428571428571432</v>
      </c>
      <c r="CU42" s="24">
        <v>487.14285714285717</v>
      </c>
      <c r="CV42" s="24">
        <v>315.71428571428572</v>
      </c>
      <c r="CW42" s="24">
        <v>142.85714285714286</v>
      </c>
      <c r="CX42" s="24">
        <v>64.35675865242429</v>
      </c>
      <c r="CY42" s="25">
        <v>28.571428571428573</v>
      </c>
      <c r="CZ42" s="20">
        <v>7</v>
      </c>
      <c r="DA42" s="24">
        <v>24.023809523809522</v>
      </c>
      <c r="DB42" s="24">
        <v>24.323809523809526</v>
      </c>
      <c r="DC42" s="24">
        <v>7.4428571428571431</v>
      </c>
      <c r="DD42" s="24">
        <v>7.6428571428571432</v>
      </c>
      <c r="DE42" s="24">
        <v>457.14285714285717</v>
      </c>
      <c r="DF42" s="24">
        <v>393</v>
      </c>
      <c r="DG42" s="24">
        <v>18</v>
      </c>
      <c r="DH42" s="24">
        <v>85.972857142857151</v>
      </c>
      <c r="DI42" s="24">
        <v>34.142857142857146</v>
      </c>
      <c r="DJ42" s="24">
        <v>84.62139311661663</v>
      </c>
      <c r="DK42" s="24">
        <v>91.57778997018363</v>
      </c>
      <c r="DL42" s="25">
        <v>87.475761617544649</v>
      </c>
      <c r="DM42" s="20">
        <v>20</v>
      </c>
      <c r="DN42" s="24">
        <v>21.608333333333334</v>
      </c>
      <c r="DO42" s="24">
        <v>24.358333333333331</v>
      </c>
      <c r="DP42" s="24">
        <v>7.5083333333333329</v>
      </c>
      <c r="DQ42" s="24">
        <v>594</v>
      </c>
      <c r="DR42" s="24">
        <v>405.25</v>
      </c>
      <c r="DS42" s="24">
        <v>165</v>
      </c>
      <c r="DT42" s="24">
        <v>67.608039846537707</v>
      </c>
      <c r="DU42" s="25">
        <v>23.75</v>
      </c>
      <c r="DV42" s="20">
        <v>20</v>
      </c>
      <c r="DW42" s="24">
        <v>22.906666666666666</v>
      </c>
      <c r="DX42" s="24">
        <v>23.747500000000002</v>
      </c>
      <c r="DY42" s="24">
        <v>7.264166666666668</v>
      </c>
      <c r="DZ42" s="24">
        <v>7.5083333333333329</v>
      </c>
      <c r="EA42" s="24">
        <v>516.1</v>
      </c>
      <c r="EB42" s="24">
        <v>405.45</v>
      </c>
      <c r="EC42" s="24">
        <v>405.45</v>
      </c>
      <c r="ED42" s="24">
        <v>79.047499999999985</v>
      </c>
      <c r="EE42" s="24">
        <v>45.55</v>
      </c>
      <c r="EF42" s="24">
        <v>69.15764276839748</v>
      </c>
      <c r="EG42" s="24">
        <v>91.695997091553409</v>
      </c>
      <c r="EH42" s="25">
        <v>88.0253762126342</v>
      </c>
      <c r="EI42" s="20">
        <v>19</v>
      </c>
      <c r="EJ42" s="24">
        <v>21.508771929824562</v>
      </c>
      <c r="EK42" s="24">
        <v>24.298245614035086</v>
      </c>
      <c r="EL42" s="24">
        <v>7.5350877192982448</v>
      </c>
      <c r="EM42" s="24">
        <v>601.57894736842104</v>
      </c>
      <c r="EN42" s="24">
        <v>413.42105263157896</v>
      </c>
      <c r="EO42" s="24">
        <v>167.36842105263159</v>
      </c>
      <c r="EP42" s="24">
        <v>68.242381125010454</v>
      </c>
      <c r="EQ42" s="25">
        <v>20.789473684210527</v>
      </c>
      <c r="ER42" s="20">
        <v>9</v>
      </c>
      <c r="ES42" s="24">
        <v>21.740740740740744</v>
      </c>
      <c r="ET42" s="24">
        <v>22.870370370370367</v>
      </c>
      <c r="EU42" s="24">
        <v>6.8574074074074067</v>
      </c>
      <c r="EV42" s="24">
        <v>7.0370370370370372</v>
      </c>
      <c r="EW42" s="24">
        <v>557.77777777777783</v>
      </c>
      <c r="EX42" s="24">
        <v>422.66666666666669</v>
      </c>
      <c r="EY42" s="24">
        <v>67.777777777777771</v>
      </c>
      <c r="EZ42" s="24">
        <v>75.966666666666669</v>
      </c>
      <c r="FA42" s="24">
        <v>56.555555555555557</v>
      </c>
      <c r="FB42" s="24">
        <v>59.955882404586092</v>
      </c>
      <c r="FC42" s="24">
        <v>90.63935271019983</v>
      </c>
      <c r="FD42" s="24">
        <v>88.837572272868854</v>
      </c>
    </row>
    <row r="43" spans="1:160" x14ac:dyDescent="0.25">
      <c r="A43">
        <v>4103</v>
      </c>
      <c r="B43">
        <v>1</v>
      </c>
      <c r="C43">
        <v>24</v>
      </c>
      <c r="D43" s="1">
        <v>1.94</v>
      </c>
      <c r="E43">
        <v>120</v>
      </c>
      <c r="F43">
        <v>31.88</v>
      </c>
      <c r="G43">
        <v>2</v>
      </c>
      <c r="H43">
        <v>10</v>
      </c>
      <c r="I43">
        <v>37</v>
      </c>
      <c r="J43">
        <v>2</v>
      </c>
      <c r="K43">
        <v>1</v>
      </c>
      <c r="L43">
        <v>3</v>
      </c>
      <c r="M43" s="1">
        <v>20.38</v>
      </c>
      <c r="N43">
        <v>21.67</v>
      </c>
      <c r="O43" s="1">
        <v>20.5</v>
      </c>
      <c r="P43" s="1">
        <v>0.12</v>
      </c>
      <c r="Q43" s="1">
        <v>22.79</v>
      </c>
      <c r="R43" s="1">
        <v>2.41</v>
      </c>
      <c r="S43" s="1">
        <v>19.5</v>
      </c>
      <c r="T43">
        <v>0</v>
      </c>
      <c r="U43">
        <v>2</v>
      </c>
      <c r="V43">
        <v>0</v>
      </c>
      <c r="W43">
        <v>7</v>
      </c>
      <c r="X43">
        <v>1</v>
      </c>
      <c r="Y43">
        <v>4</v>
      </c>
      <c r="Z43">
        <v>22</v>
      </c>
      <c r="AA43">
        <v>2</v>
      </c>
      <c r="AB43">
        <v>2</v>
      </c>
      <c r="AC43">
        <v>17</v>
      </c>
      <c r="AD43">
        <v>3</v>
      </c>
      <c r="AE43">
        <v>2</v>
      </c>
      <c r="AF43">
        <v>3</v>
      </c>
      <c r="AG43">
        <v>1</v>
      </c>
      <c r="AH43">
        <v>1</v>
      </c>
      <c r="AI43">
        <v>1</v>
      </c>
      <c r="AJ43">
        <v>0</v>
      </c>
      <c r="AK43">
        <v>3</v>
      </c>
      <c r="AL43">
        <v>11</v>
      </c>
      <c r="AM43">
        <v>2</v>
      </c>
      <c r="AN43">
        <v>9</v>
      </c>
      <c r="AO43">
        <v>7</v>
      </c>
      <c r="AP43">
        <v>5</v>
      </c>
      <c r="AQ43">
        <v>21</v>
      </c>
      <c r="AR43">
        <v>0</v>
      </c>
      <c r="AS43">
        <v>20</v>
      </c>
      <c r="AT43">
        <v>4</v>
      </c>
      <c r="AU43">
        <v>1</v>
      </c>
      <c r="AV43">
        <v>1</v>
      </c>
      <c r="AW43">
        <v>11</v>
      </c>
      <c r="AX43">
        <v>1</v>
      </c>
      <c r="AY43">
        <v>1</v>
      </c>
      <c r="AZ43">
        <v>7</v>
      </c>
      <c r="BA43">
        <v>1</v>
      </c>
      <c r="BB43">
        <v>1</v>
      </c>
      <c r="BC43">
        <v>3</v>
      </c>
      <c r="BD43">
        <v>0</v>
      </c>
      <c r="BE43">
        <v>1</v>
      </c>
      <c r="BF43">
        <v>1</v>
      </c>
      <c r="BG43">
        <v>0</v>
      </c>
      <c r="BH43">
        <v>2</v>
      </c>
      <c r="BI43">
        <v>8</v>
      </c>
      <c r="BJ43">
        <v>2</v>
      </c>
      <c r="BK43">
        <v>8</v>
      </c>
      <c r="BL43">
        <v>2</v>
      </c>
      <c r="BM43">
        <v>2</v>
      </c>
      <c r="BN43">
        <v>12</v>
      </c>
      <c r="BO43">
        <v>0</v>
      </c>
      <c r="BP43">
        <v>4</v>
      </c>
      <c r="BQ43">
        <v>3</v>
      </c>
      <c r="BR43">
        <v>2</v>
      </c>
      <c r="BS43">
        <v>1</v>
      </c>
      <c r="BT43">
        <v>2</v>
      </c>
      <c r="BU43">
        <v>1</v>
      </c>
      <c r="BV43">
        <v>1</v>
      </c>
      <c r="BW43">
        <v>3</v>
      </c>
      <c r="BX43">
        <v>2</v>
      </c>
      <c r="BY43">
        <v>1</v>
      </c>
      <c r="BZ43">
        <v>2</v>
      </c>
      <c r="CA43">
        <v>2</v>
      </c>
      <c r="CB43">
        <v>1</v>
      </c>
      <c r="CC43">
        <v>9</v>
      </c>
      <c r="CD43">
        <v>1</v>
      </c>
      <c r="CE43">
        <v>1</v>
      </c>
      <c r="CF43">
        <v>2</v>
      </c>
      <c r="CG43">
        <v>29</v>
      </c>
      <c r="CH43">
        <v>29</v>
      </c>
      <c r="CI43">
        <v>27</v>
      </c>
      <c r="CJ43">
        <v>22</v>
      </c>
      <c r="CK43">
        <v>23</v>
      </c>
      <c r="CL43">
        <v>30</v>
      </c>
      <c r="CM43">
        <v>25</v>
      </c>
      <c r="CN43">
        <v>20</v>
      </c>
      <c r="CO43">
        <v>19</v>
      </c>
      <c r="CP43" s="26">
        <v>13</v>
      </c>
      <c r="CQ43" s="20">
        <v>7</v>
      </c>
      <c r="CR43" s="24">
        <v>22.785714285714285</v>
      </c>
      <c r="CS43" s="24">
        <v>23.642857142857142</v>
      </c>
      <c r="CT43" s="24">
        <v>6.5595238095238102</v>
      </c>
      <c r="CU43" s="24">
        <v>466.42857142857144</v>
      </c>
      <c r="CV43" s="24">
        <v>340</v>
      </c>
      <c r="CW43" s="24">
        <v>51.428571428571431</v>
      </c>
      <c r="CX43" s="24">
        <v>72.159212346572119</v>
      </c>
      <c r="CY43" s="25">
        <v>75</v>
      </c>
      <c r="CZ43" s="20">
        <v>7</v>
      </c>
      <c r="DA43" s="24">
        <v>22.785714285714285</v>
      </c>
      <c r="DB43" s="24">
        <v>23.085714285714289</v>
      </c>
      <c r="DC43" s="24">
        <v>6.4238095238095241</v>
      </c>
      <c r="DD43" s="24">
        <v>6.5595238095238102</v>
      </c>
      <c r="DE43" s="24">
        <v>466.42857142857144</v>
      </c>
      <c r="DF43" s="24">
        <v>395.14285714285717</v>
      </c>
      <c r="DG43" s="24">
        <v>18</v>
      </c>
      <c r="DH43" s="24">
        <v>84.627142857142857</v>
      </c>
      <c r="DI43" s="24">
        <v>45.142857142857146</v>
      </c>
      <c r="DJ43" s="24">
        <v>87.30509772147073</v>
      </c>
      <c r="DK43" s="24">
        <v>91.688055911780097</v>
      </c>
      <c r="DL43" s="25">
        <v>85.670200029878387</v>
      </c>
      <c r="DM43" s="20">
        <v>28</v>
      </c>
      <c r="DN43" s="24">
        <v>20.607142857142858</v>
      </c>
      <c r="DO43" s="24">
        <v>21.839285714285715</v>
      </c>
      <c r="DP43" s="24">
        <v>6.4107142857142856</v>
      </c>
      <c r="DQ43" s="24">
        <v>588.21428571428567</v>
      </c>
      <c r="DR43" s="24">
        <v>462.32142857142856</v>
      </c>
      <c r="DS43" s="24">
        <v>73.928571428571431</v>
      </c>
      <c r="DT43" s="24">
        <v>78.541762473212771</v>
      </c>
      <c r="DU43" s="25">
        <v>51.964285714285715</v>
      </c>
      <c r="DV43" s="20">
        <v>28</v>
      </c>
      <c r="DW43" s="24">
        <v>20.685119047619047</v>
      </c>
      <c r="DX43" s="24">
        <v>21.274404761904766</v>
      </c>
      <c r="DY43" s="24">
        <v>6.2261904761904754</v>
      </c>
      <c r="DZ43" s="24">
        <v>6.4107142857142856</v>
      </c>
      <c r="EA43" s="24">
        <v>583.53571428571433</v>
      </c>
      <c r="EB43" s="24">
        <v>475.5</v>
      </c>
      <c r="EC43" s="24">
        <v>475.5</v>
      </c>
      <c r="ED43" s="24">
        <v>81.522857142857134</v>
      </c>
      <c r="EE43" s="24">
        <v>61.5</v>
      </c>
      <c r="EF43" s="24">
        <v>78.058734540053067</v>
      </c>
      <c r="EG43" s="24">
        <v>90.99001040062079</v>
      </c>
      <c r="EH43" s="25">
        <v>85.74825728562071</v>
      </c>
      <c r="EI43" s="20">
        <v>28</v>
      </c>
      <c r="EJ43" s="24">
        <v>20.607142857142858</v>
      </c>
      <c r="EK43" s="24">
        <v>21.839285714285715</v>
      </c>
      <c r="EL43" s="24">
        <v>6.4107142857142856</v>
      </c>
      <c r="EM43" s="24">
        <v>588.21428571428567</v>
      </c>
      <c r="EN43" s="24">
        <v>462.32142857142856</v>
      </c>
      <c r="EO43" s="24">
        <v>73.928571428571431</v>
      </c>
      <c r="EP43" s="24">
        <v>78.541762473212771</v>
      </c>
      <c r="EQ43" s="25">
        <v>51.964285714285715</v>
      </c>
      <c r="ER43" s="20">
        <v>28</v>
      </c>
      <c r="ES43" s="24">
        <v>20.685119047619047</v>
      </c>
      <c r="ET43" s="24">
        <v>21.274404761904766</v>
      </c>
      <c r="EU43" s="24">
        <v>6.2261904761904754</v>
      </c>
      <c r="EV43" s="24">
        <v>6.4107142857142856</v>
      </c>
      <c r="EW43" s="24">
        <v>583.53571428571433</v>
      </c>
      <c r="EX43" s="24">
        <v>475.5</v>
      </c>
      <c r="EY43" s="24">
        <v>35.357142857142854</v>
      </c>
      <c r="EZ43" s="24">
        <v>81.522857142857134</v>
      </c>
      <c r="FA43" s="24">
        <v>61.5</v>
      </c>
      <c r="FB43" s="24">
        <v>78.058734540053067</v>
      </c>
      <c r="FC43" s="24">
        <v>90.99001040062079</v>
      </c>
      <c r="FD43" s="24">
        <v>85.74825728562071</v>
      </c>
    </row>
    <row r="44" spans="1:160" x14ac:dyDescent="0.25">
      <c r="A44">
        <v>4107</v>
      </c>
      <c r="B44">
        <v>2</v>
      </c>
      <c r="C44">
        <v>24</v>
      </c>
      <c r="D44" s="1">
        <v>1.59</v>
      </c>
      <c r="E44">
        <v>51</v>
      </c>
      <c r="F44">
        <v>20.170000000000002</v>
      </c>
      <c r="G44">
        <v>2</v>
      </c>
      <c r="H44">
        <v>18</v>
      </c>
      <c r="I44">
        <v>20</v>
      </c>
      <c r="J44">
        <v>1</v>
      </c>
      <c r="K44">
        <v>2</v>
      </c>
      <c r="L44">
        <v>3</v>
      </c>
      <c r="M44" s="1">
        <v>22.5</v>
      </c>
      <c r="N44">
        <v>20.63</v>
      </c>
      <c r="O44" s="1">
        <v>21.5</v>
      </c>
      <c r="P44" s="1">
        <v>-1</v>
      </c>
      <c r="Q44" s="1">
        <v>26.04</v>
      </c>
      <c r="R44" s="1">
        <v>3.54</v>
      </c>
      <c r="S44" s="1">
        <v>20.5</v>
      </c>
      <c r="T44">
        <v>0</v>
      </c>
      <c r="U44">
        <v>2</v>
      </c>
      <c r="V44">
        <v>0</v>
      </c>
      <c r="W44">
        <v>14</v>
      </c>
      <c r="X44">
        <v>2</v>
      </c>
      <c r="Y44">
        <v>22</v>
      </c>
      <c r="Z44">
        <v>28</v>
      </c>
      <c r="AA44">
        <v>2</v>
      </c>
      <c r="AB44">
        <v>2</v>
      </c>
      <c r="AC44">
        <v>21</v>
      </c>
      <c r="AD44">
        <v>3</v>
      </c>
      <c r="AE44">
        <v>2</v>
      </c>
      <c r="AF44">
        <v>3</v>
      </c>
      <c r="AG44">
        <v>3</v>
      </c>
      <c r="AH44">
        <v>1</v>
      </c>
      <c r="AI44">
        <v>1</v>
      </c>
      <c r="AJ44">
        <v>0</v>
      </c>
      <c r="AK44">
        <v>2</v>
      </c>
      <c r="AL44">
        <v>12</v>
      </c>
      <c r="AM44">
        <v>2</v>
      </c>
      <c r="AN44">
        <v>10</v>
      </c>
      <c r="AO44">
        <v>0</v>
      </c>
      <c r="AP44">
        <v>3</v>
      </c>
      <c r="AQ44">
        <v>13</v>
      </c>
      <c r="AR44">
        <v>0</v>
      </c>
      <c r="AS44">
        <v>14</v>
      </c>
      <c r="AT44">
        <v>6</v>
      </c>
      <c r="AU44">
        <v>1</v>
      </c>
      <c r="AV44">
        <v>17</v>
      </c>
      <c r="AW44">
        <v>25</v>
      </c>
      <c r="AX44">
        <v>2</v>
      </c>
      <c r="AY44">
        <v>2</v>
      </c>
      <c r="AZ44">
        <v>9</v>
      </c>
      <c r="BA44">
        <v>2</v>
      </c>
      <c r="BB44">
        <v>1</v>
      </c>
      <c r="BC44">
        <v>2</v>
      </c>
      <c r="BD44">
        <v>0</v>
      </c>
      <c r="BE44">
        <v>0</v>
      </c>
      <c r="BF44">
        <v>2</v>
      </c>
      <c r="BG44">
        <v>0</v>
      </c>
      <c r="BH44">
        <v>1</v>
      </c>
      <c r="BI44">
        <v>6</v>
      </c>
      <c r="BJ44">
        <v>2</v>
      </c>
      <c r="BK44">
        <v>3</v>
      </c>
      <c r="BL44">
        <v>1</v>
      </c>
      <c r="BM44">
        <v>2</v>
      </c>
      <c r="BN44">
        <v>6</v>
      </c>
      <c r="BO44">
        <v>0</v>
      </c>
      <c r="BP44">
        <v>12</v>
      </c>
      <c r="BQ44">
        <v>4</v>
      </c>
      <c r="BR44">
        <v>2</v>
      </c>
      <c r="BS44">
        <v>2</v>
      </c>
      <c r="BT44">
        <v>4</v>
      </c>
      <c r="BU44">
        <v>2</v>
      </c>
      <c r="BV44">
        <v>2</v>
      </c>
      <c r="BW44">
        <v>2</v>
      </c>
      <c r="BX44">
        <v>1</v>
      </c>
      <c r="BY44">
        <v>1</v>
      </c>
      <c r="BZ44">
        <v>1</v>
      </c>
      <c r="CA44">
        <v>3</v>
      </c>
      <c r="CB44">
        <v>1</v>
      </c>
      <c r="CC44">
        <v>5</v>
      </c>
      <c r="CD44">
        <v>6</v>
      </c>
      <c r="CE44">
        <v>2</v>
      </c>
      <c r="CF44">
        <v>2</v>
      </c>
      <c r="CG44">
        <v>33</v>
      </c>
      <c r="CH44">
        <v>20</v>
      </c>
      <c r="CI44">
        <v>22</v>
      </c>
      <c r="CJ44">
        <v>24</v>
      </c>
      <c r="CK44">
        <v>18</v>
      </c>
      <c r="CL44">
        <v>36</v>
      </c>
      <c r="CM44">
        <v>12</v>
      </c>
      <c r="CN44">
        <v>16</v>
      </c>
      <c r="CO44">
        <v>17</v>
      </c>
      <c r="CP44" s="26">
        <v>15</v>
      </c>
      <c r="CQ44" s="20">
        <v>7</v>
      </c>
      <c r="CR44" s="24">
        <v>25.464285714285715</v>
      </c>
      <c r="CS44" s="24">
        <v>26.440476190476186</v>
      </c>
      <c r="CT44" s="24">
        <v>8.6428571428571423</v>
      </c>
      <c r="CU44" s="24">
        <v>430.71428571428572</v>
      </c>
      <c r="CV44" s="24">
        <v>359.28571428571428</v>
      </c>
      <c r="CW44" s="24">
        <v>58.571428571428569</v>
      </c>
      <c r="CX44" s="24">
        <v>83.7423658397867</v>
      </c>
      <c r="CY44" s="25">
        <v>12.857142857142858</v>
      </c>
      <c r="CZ44" s="20">
        <v>7</v>
      </c>
      <c r="DA44" s="24">
        <v>26.035714285714285</v>
      </c>
      <c r="DB44" s="24">
        <v>26.316666666666666</v>
      </c>
      <c r="DC44" s="24">
        <v>8.6142857142857139</v>
      </c>
      <c r="DD44" s="24">
        <v>8.6428571428571423</v>
      </c>
      <c r="DE44" s="24">
        <v>396.42857142857144</v>
      </c>
      <c r="DF44" s="24">
        <v>361.42857142857144</v>
      </c>
      <c r="DG44" s="24">
        <v>16.857142857142858</v>
      </c>
      <c r="DH44" s="24">
        <v>90.661428571428573</v>
      </c>
      <c r="DI44" s="24">
        <v>16.428571428571427</v>
      </c>
      <c r="DJ44" s="24">
        <v>89.419432404876943</v>
      </c>
      <c r="DK44" s="24">
        <v>96.459155091491837</v>
      </c>
      <c r="DL44" s="25">
        <v>93.730888131069761</v>
      </c>
      <c r="DM44" s="20">
        <v>19</v>
      </c>
      <c r="DN44" s="24">
        <v>21.833333333333336</v>
      </c>
      <c r="DO44" s="24">
        <v>22.587719298245617</v>
      </c>
      <c r="DP44" s="24">
        <v>7.3201754385964906</v>
      </c>
      <c r="DQ44" s="24">
        <v>569.21052631578948</v>
      </c>
      <c r="DR44" s="24">
        <v>480.26315789473682</v>
      </c>
      <c r="DS44" s="24">
        <v>45.263157894736842</v>
      </c>
      <c r="DT44" s="24">
        <v>84.08717258961542</v>
      </c>
      <c r="DU44" s="25">
        <v>43.684210526315788</v>
      </c>
      <c r="DV44" s="20">
        <v>19</v>
      </c>
      <c r="DW44" s="24">
        <v>22.153508771929829</v>
      </c>
      <c r="DX44" s="24">
        <v>22.880701754385967</v>
      </c>
      <c r="DY44" s="24">
        <v>7.1350877192982454</v>
      </c>
      <c r="DZ44" s="24">
        <v>7.3333333333333321</v>
      </c>
      <c r="EA44" s="24">
        <v>550.78947368421052</v>
      </c>
      <c r="EB44" s="24">
        <v>452.15789473684208</v>
      </c>
      <c r="EC44" s="24">
        <v>452.15789473684208</v>
      </c>
      <c r="ED44" s="24">
        <v>82.663684210526299</v>
      </c>
      <c r="EE44" s="24">
        <v>43.10526315789474</v>
      </c>
      <c r="EF44" s="24">
        <v>79.963607900431995</v>
      </c>
      <c r="EG44" s="24">
        <v>91.337095059898445</v>
      </c>
      <c r="EH44" s="25">
        <v>90.037608037512229</v>
      </c>
      <c r="EI44" s="20">
        <v>19</v>
      </c>
      <c r="EJ44" s="24">
        <v>21.833333333333336</v>
      </c>
      <c r="EK44" s="24">
        <v>22.587719298245617</v>
      </c>
      <c r="EL44" s="24">
        <v>7.3201754385964906</v>
      </c>
      <c r="EM44" s="24">
        <v>569.21052631578948</v>
      </c>
      <c r="EN44" s="24">
        <v>480.26315789473682</v>
      </c>
      <c r="EO44" s="24">
        <v>45.263157894736842</v>
      </c>
      <c r="EP44" s="24">
        <v>84.08717258961542</v>
      </c>
      <c r="EQ44" s="25">
        <v>43.684210526315788</v>
      </c>
      <c r="ER44" s="20">
        <v>17</v>
      </c>
      <c r="ES44" s="24">
        <v>21.872549019607845</v>
      </c>
      <c r="ET44" s="24">
        <v>22.643137254901966</v>
      </c>
      <c r="EU44" s="24">
        <v>7.0588235294117654</v>
      </c>
      <c r="EV44" s="24">
        <v>7.2745098039215685</v>
      </c>
      <c r="EW44" s="24">
        <v>564.11764705882354</v>
      </c>
      <c r="EX44" s="24">
        <v>458.29411764705884</v>
      </c>
      <c r="EY44" s="24">
        <v>46.235294117647058</v>
      </c>
      <c r="EZ44" s="24">
        <v>81.471176470588219</v>
      </c>
      <c r="FA44" s="24">
        <v>46.647058823529413</v>
      </c>
      <c r="FB44" s="24">
        <v>78.075361011841011</v>
      </c>
      <c r="FC44" s="24">
        <v>90.753983120494553</v>
      </c>
      <c r="FD44" s="24">
        <v>89.467337161227405</v>
      </c>
    </row>
    <row r="45" spans="1:160" x14ac:dyDescent="0.25">
      <c r="A45">
        <v>4109</v>
      </c>
      <c r="B45">
        <v>2</v>
      </c>
      <c r="C45">
        <v>19</v>
      </c>
      <c r="D45" s="1">
        <v>1.69</v>
      </c>
      <c r="E45">
        <v>87</v>
      </c>
      <c r="F45">
        <v>30.46</v>
      </c>
      <c r="G45">
        <v>2</v>
      </c>
      <c r="H45">
        <v>15</v>
      </c>
      <c r="I45">
        <v>25</v>
      </c>
      <c r="J45">
        <v>2</v>
      </c>
      <c r="K45">
        <v>2</v>
      </c>
      <c r="L45">
        <v>3</v>
      </c>
      <c r="M45" s="1">
        <v>21.18</v>
      </c>
      <c r="N45">
        <v>20.23</v>
      </c>
      <c r="O45" s="1">
        <v>21.5</v>
      </c>
      <c r="P45" s="1">
        <v>0.32</v>
      </c>
      <c r="Q45" s="1">
        <v>25.36</v>
      </c>
      <c r="R45" s="1">
        <v>4.18</v>
      </c>
      <c r="S45" s="1">
        <v>20.5</v>
      </c>
      <c r="T45">
        <v>0</v>
      </c>
      <c r="U45">
        <v>2</v>
      </c>
      <c r="V45">
        <v>1</v>
      </c>
      <c r="W45">
        <v>3</v>
      </c>
      <c r="X45">
        <v>1</v>
      </c>
      <c r="Y45">
        <v>14</v>
      </c>
      <c r="Z45">
        <v>12</v>
      </c>
      <c r="AA45">
        <v>1</v>
      </c>
      <c r="AB45">
        <v>1</v>
      </c>
      <c r="AC45">
        <v>16</v>
      </c>
      <c r="AD45">
        <v>3</v>
      </c>
      <c r="AE45">
        <v>2</v>
      </c>
      <c r="AF45">
        <v>3</v>
      </c>
      <c r="AG45">
        <v>2</v>
      </c>
      <c r="AH45">
        <v>3</v>
      </c>
      <c r="AI45">
        <v>1</v>
      </c>
      <c r="AJ45">
        <v>0</v>
      </c>
      <c r="AK45">
        <v>1</v>
      </c>
      <c r="AL45">
        <v>12</v>
      </c>
      <c r="AM45">
        <v>2</v>
      </c>
      <c r="AN45">
        <v>7</v>
      </c>
      <c r="AO45">
        <v>5</v>
      </c>
      <c r="AP45">
        <v>8</v>
      </c>
      <c r="AQ45">
        <v>20</v>
      </c>
      <c r="AR45">
        <v>0</v>
      </c>
      <c r="AS45">
        <v>10</v>
      </c>
      <c r="AT45">
        <v>8</v>
      </c>
      <c r="AU45">
        <v>1</v>
      </c>
      <c r="AV45">
        <v>13</v>
      </c>
      <c r="AW45">
        <v>7</v>
      </c>
      <c r="AX45">
        <v>1</v>
      </c>
      <c r="AY45">
        <v>1</v>
      </c>
      <c r="AZ45">
        <v>6</v>
      </c>
      <c r="BA45">
        <v>1</v>
      </c>
      <c r="BB45">
        <v>1</v>
      </c>
      <c r="BC45">
        <v>2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5</v>
      </c>
      <c r="BJ45">
        <v>1</v>
      </c>
      <c r="BK45">
        <v>3</v>
      </c>
      <c r="BL45">
        <v>3</v>
      </c>
      <c r="BM45">
        <v>5</v>
      </c>
      <c r="BN45">
        <v>11</v>
      </c>
      <c r="BO45">
        <v>0</v>
      </c>
      <c r="BP45">
        <v>4</v>
      </c>
      <c r="BQ45">
        <v>5</v>
      </c>
      <c r="BR45">
        <v>2</v>
      </c>
      <c r="BS45">
        <v>2</v>
      </c>
      <c r="BT45">
        <v>5</v>
      </c>
      <c r="BU45">
        <v>2</v>
      </c>
      <c r="BV45">
        <v>2</v>
      </c>
      <c r="BW45">
        <v>2</v>
      </c>
      <c r="BX45">
        <v>1</v>
      </c>
      <c r="BY45">
        <v>1</v>
      </c>
      <c r="BZ45">
        <v>1</v>
      </c>
      <c r="CA45">
        <v>3</v>
      </c>
      <c r="CB45">
        <v>1</v>
      </c>
      <c r="CC45">
        <v>5</v>
      </c>
      <c r="CD45">
        <v>6</v>
      </c>
      <c r="CE45">
        <v>2</v>
      </c>
      <c r="CF45">
        <v>2</v>
      </c>
      <c r="CG45">
        <v>24</v>
      </c>
      <c r="CH45">
        <v>18</v>
      </c>
      <c r="CI45">
        <v>21</v>
      </c>
      <c r="CJ45">
        <v>19</v>
      </c>
      <c r="CK45">
        <v>20</v>
      </c>
      <c r="CL45">
        <v>29</v>
      </c>
      <c r="CM45">
        <v>21</v>
      </c>
      <c r="CN45">
        <v>20</v>
      </c>
      <c r="CO45">
        <v>20</v>
      </c>
      <c r="CP45" s="26">
        <v>21</v>
      </c>
      <c r="CQ45" s="20">
        <v>7</v>
      </c>
      <c r="CR45" s="24">
        <v>24.642857142857142</v>
      </c>
      <c r="CS45" s="24">
        <v>26.107142857142858</v>
      </c>
      <c r="CT45" s="24">
        <v>8.8928571428571423</v>
      </c>
      <c r="CU45" s="24">
        <v>495</v>
      </c>
      <c r="CV45" s="24">
        <v>390.71428571428572</v>
      </c>
      <c r="CW45" s="24">
        <v>87.857142857142861</v>
      </c>
      <c r="CX45" s="24">
        <v>78.401951468313015</v>
      </c>
      <c r="CY45" s="25">
        <v>16.428571428571427</v>
      </c>
      <c r="CZ45" s="20">
        <v>7</v>
      </c>
      <c r="DA45" s="24">
        <v>25.357142857142858</v>
      </c>
      <c r="DB45" s="24">
        <v>25.759523809523813</v>
      </c>
      <c r="DC45" s="24">
        <v>8.8476190476190464</v>
      </c>
      <c r="DD45" s="24">
        <v>8.9642857142857135</v>
      </c>
      <c r="DE45" s="24">
        <v>456.42857142857144</v>
      </c>
      <c r="DF45" s="24">
        <v>395.28571428571428</v>
      </c>
      <c r="DG45" s="24">
        <v>24.142857142857142</v>
      </c>
      <c r="DH45" s="24">
        <v>85.955714285714294</v>
      </c>
      <c r="DI45" s="24">
        <v>30</v>
      </c>
      <c r="DJ45" s="24">
        <v>81.069854646203225</v>
      </c>
      <c r="DK45" s="24">
        <v>93.423266339386345</v>
      </c>
      <c r="DL45" s="25">
        <v>90.237289652703154</v>
      </c>
      <c r="DM45" s="20">
        <v>18</v>
      </c>
      <c r="DN45" s="24">
        <v>21.69814814814815</v>
      </c>
      <c r="DO45" s="24">
        <v>22.337037037037035</v>
      </c>
      <c r="DP45" s="24">
        <v>7.1990740740740744</v>
      </c>
      <c r="DQ45" s="24">
        <v>570.05555555555554</v>
      </c>
      <c r="DR45" s="24">
        <v>549.9375</v>
      </c>
      <c r="DS45" s="24">
        <v>40.588235294117645</v>
      </c>
      <c r="DT45" s="24">
        <v>94.166544948366209</v>
      </c>
      <c r="DU45" s="25">
        <v>4.2352941176470589</v>
      </c>
      <c r="DV45" s="20">
        <v>18</v>
      </c>
      <c r="DW45" s="24">
        <v>21.753703703703703</v>
      </c>
      <c r="DX45" s="24">
        <v>22.24444444444444</v>
      </c>
      <c r="DY45" s="24">
        <v>7.1148148148148147</v>
      </c>
      <c r="DZ45" s="24">
        <v>7.2546296296296298</v>
      </c>
      <c r="EA45" s="24">
        <v>570.05555555555554</v>
      </c>
      <c r="EB45" s="24">
        <v>485.66666666666669</v>
      </c>
      <c r="EC45" s="24">
        <v>485.66666666666669</v>
      </c>
      <c r="ED45" s="24">
        <v>84.986111111111114</v>
      </c>
      <c r="EE45" s="24">
        <v>46.555555555555557</v>
      </c>
      <c r="EF45" s="24">
        <v>82.027347938283611</v>
      </c>
      <c r="EG45" s="24">
        <v>91.325860194325031</v>
      </c>
      <c r="EH45" s="25">
        <v>88.581384867650115</v>
      </c>
      <c r="EI45" s="20">
        <v>18</v>
      </c>
      <c r="EJ45" s="24">
        <v>21.69814814814815</v>
      </c>
      <c r="EK45" s="24">
        <v>22.337037037037035</v>
      </c>
      <c r="EL45" s="24">
        <v>7.1990740740740744</v>
      </c>
      <c r="EM45" s="24">
        <v>570.05555555555554</v>
      </c>
      <c r="EN45" s="24">
        <v>549.9375</v>
      </c>
      <c r="EO45" s="24">
        <v>40.588235294117645</v>
      </c>
      <c r="EP45" s="24">
        <v>94.166544948366209</v>
      </c>
      <c r="EQ45" s="25">
        <v>4.2352941176470589</v>
      </c>
      <c r="ER45" s="20">
        <v>18</v>
      </c>
      <c r="ES45" s="24">
        <v>21.753703703703703</v>
      </c>
      <c r="ET45" s="24">
        <v>22.24444444444444</v>
      </c>
      <c r="EU45" s="24">
        <v>7.1148148148148147</v>
      </c>
      <c r="EV45" s="24">
        <v>7.2546296296296298</v>
      </c>
      <c r="EW45" s="24">
        <v>570.05555555555554</v>
      </c>
      <c r="EX45" s="24">
        <v>485.66666666666669</v>
      </c>
      <c r="EY45" s="24">
        <v>29.444444444444443</v>
      </c>
      <c r="EZ45" s="24">
        <v>84.986111111111114</v>
      </c>
      <c r="FA45" s="24">
        <v>46.555555555555557</v>
      </c>
      <c r="FB45" s="24">
        <v>82.027347938283611</v>
      </c>
      <c r="FC45" s="24">
        <v>91.325860194325031</v>
      </c>
      <c r="FD45" s="24">
        <v>88.581384867650115</v>
      </c>
    </row>
    <row r="46" spans="1:160" x14ac:dyDescent="0.25">
      <c r="A46">
        <v>4110</v>
      </c>
      <c r="B46">
        <v>2</v>
      </c>
      <c r="C46">
        <v>27</v>
      </c>
      <c r="D46" s="1">
        <v>1.77</v>
      </c>
      <c r="E46">
        <v>66</v>
      </c>
      <c r="F46">
        <v>21.07</v>
      </c>
      <c r="G46">
        <v>1</v>
      </c>
      <c r="H46">
        <v>6</v>
      </c>
      <c r="I46">
        <v>30</v>
      </c>
      <c r="J46">
        <v>2</v>
      </c>
      <c r="K46">
        <v>1</v>
      </c>
      <c r="L46">
        <v>3</v>
      </c>
      <c r="M46" s="1">
        <v>22.57</v>
      </c>
      <c r="N46">
        <v>23.95</v>
      </c>
      <c r="O46" s="1">
        <v>22</v>
      </c>
      <c r="P46" s="1">
        <v>-0.56999999999999995</v>
      </c>
      <c r="Q46" s="1">
        <v>25.04</v>
      </c>
      <c r="R46" s="1">
        <v>2.4700000000000002</v>
      </c>
      <c r="S46" s="1">
        <v>21</v>
      </c>
      <c r="T46">
        <v>0</v>
      </c>
      <c r="U46">
        <v>2</v>
      </c>
      <c r="V46">
        <v>0</v>
      </c>
      <c r="W46">
        <v>5</v>
      </c>
      <c r="X46">
        <v>1</v>
      </c>
      <c r="Y46">
        <v>11</v>
      </c>
      <c r="Z46">
        <v>6</v>
      </c>
      <c r="AA46">
        <v>1</v>
      </c>
      <c r="AB46">
        <v>1</v>
      </c>
      <c r="AC46">
        <v>10</v>
      </c>
      <c r="AD46">
        <v>2</v>
      </c>
      <c r="AE46">
        <v>2</v>
      </c>
      <c r="AF46">
        <v>2</v>
      </c>
      <c r="AG46">
        <v>0</v>
      </c>
      <c r="AH46">
        <v>0</v>
      </c>
      <c r="AI46">
        <v>1</v>
      </c>
      <c r="AJ46">
        <v>0</v>
      </c>
      <c r="AK46">
        <v>2</v>
      </c>
      <c r="AL46">
        <v>7</v>
      </c>
      <c r="AM46">
        <v>2</v>
      </c>
      <c r="AN46">
        <v>7</v>
      </c>
      <c r="AO46">
        <v>6</v>
      </c>
      <c r="AP46">
        <v>3</v>
      </c>
      <c r="AQ46">
        <v>16</v>
      </c>
      <c r="AR46">
        <v>2</v>
      </c>
      <c r="AS46">
        <v>10</v>
      </c>
      <c r="AT46">
        <v>8</v>
      </c>
      <c r="AU46">
        <v>1</v>
      </c>
      <c r="AV46">
        <v>17</v>
      </c>
      <c r="AW46">
        <v>9</v>
      </c>
      <c r="AX46">
        <v>1</v>
      </c>
      <c r="AY46">
        <v>1</v>
      </c>
      <c r="AZ46">
        <v>16</v>
      </c>
      <c r="BA46">
        <v>3</v>
      </c>
      <c r="BB46">
        <v>2</v>
      </c>
      <c r="BC46">
        <v>2</v>
      </c>
      <c r="BD46">
        <v>1</v>
      </c>
      <c r="BE46">
        <v>0</v>
      </c>
      <c r="BF46">
        <v>2</v>
      </c>
      <c r="BG46">
        <v>1</v>
      </c>
      <c r="BH46">
        <v>1</v>
      </c>
      <c r="BI46">
        <v>9</v>
      </c>
      <c r="BJ46">
        <v>2</v>
      </c>
      <c r="BK46">
        <v>6</v>
      </c>
      <c r="BL46">
        <v>7</v>
      </c>
      <c r="BM46">
        <v>7</v>
      </c>
      <c r="BN46">
        <v>20</v>
      </c>
      <c r="BO46">
        <v>1</v>
      </c>
      <c r="BP46">
        <v>1</v>
      </c>
      <c r="BQ46">
        <v>3</v>
      </c>
      <c r="BR46">
        <v>2</v>
      </c>
      <c r="BS46">
        <v>1</v>
      </c>
      <c r="BT46">
        <v>4</v>
      </c>
      <c r="BU46">
        <v>2</v>
      </c>
      <c r="BV46">
        <v>2</v>
      </c>
      <c r="BW46">
        <v>4</v>
      </c>
      <c r="BX46">
        <v>2</v>
      </c>
      <c r="BY46">
        <v>2</v>
      </c>
      <c r="BZ46">
        <v>2</v>
      </c>
      <c r="CA46">
        <v>1</v>
      </c>
      <c r="CB46">
        <v>1</v>
      </c>
      <c r="CC46">
        <v>13</v>
      </c>
      <c r="CF46">
        <v>1</v>
      </c>
      <c r="CG46">
        <v>18</v>
      </c>
      <c r="CH46">
        <v>24</v>
      </c>
      <c r="CI46">
        <v>30</v>
      </c>
      <c r="CJ46">
        <v>30</v>
      </c>
      <c r="CK46">
        <v>30</v>
      </c>
      <c r="CL46">
        <v>28</v>
      </c>
      <c r="CM46">
        <v>27</v>
      </c>
      <c r="CN46">
        <v>26</v>
      </c>
      <c r="CO46">
        <v>26</v>
      </c>
      <c r="CP46" s="26">
        <v>26</v>
      </c>
      <c r="CQ46" s="20">
        <v>7</v>
      </c>
      <c r="CR46" s="24">
        <v>24.75</v>
      </c>
      <c r="CS46" s="24">
        <v>25.023809523809526</v>
      </c>
      <c r="CT46" s="24">
        <v>8.5714285714285712</v>
      </c>
      <c r="CU46" s="24">
        <v>469.28571428571428</v>
      </c>
      <c r="CV46" s="24">
        <v>452.85714285714283</v>
      </c>
      <c r="CW46" s="24">
        <v>16.428571428571427</v>
      </c>
      <c r="CX46" s="24">
        <v>96.691877067951921</v>
      </c>
      <c r="CY46" s="25">
        <v>0</v>
      </c>
      <c r="CZ46" s="20">
        <v>7</v>
      </c>
      <c r="DA46" s="24">
        <v>25.035714285714285</v>
      </c>
      <c r="DB46" s="24">
        <v>25.402380952380952</v>
      </c>
      <c r="DC46" s="24">
        <v>8.4285714285714288</v>
      </c>
      <c r="DD46" s="24">
        <v>8.5</v>
      </c>
      <c r="DE46" s="24">
        <v>447.85714285714283</v>
      </c>
      <c r="DF46" s="24">
        <v>394.57142857142856</v>
      </c>
      <c r="DG46" s="24">
        <v>22</v>
      </c>
      <c r="DH46" s="24">
        <v>87.657142857142858</v>
      </c>
      <c r="DI46" s="24">
        <v>27</v>
      </c>
      <c r="DJ46" s="24">
        <v>86.922151524457561</v>
      </c>
      <c r="DK46" s="24">
        <v>95.459601740625786</v>
      </c>
      <c r="DL46" s="25">
        <v>92.203192764068277</v>
      </c>
      <c r="DN46" s="24"/>
      <c r="DO46" s="24"/>
      <c r="DP46" s="24"/>
      <c r="DQ46" s="24"/>
      <c r="DR46" s="24"/>
      <c r="DS46" s="24"/>
      <c r="DT46" s="24"/>
      <c r="DU46" s="25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5"/>
      <c r="EJ46" s="24"/>
      <c r="EK46" s="24"/>
      <c r="EL46" s="24"/>
      <c r="EM46" s="24"/>
      <c r="EN46" s="24"/>
      <c r="EO46" s="24"/>
      <c r="EP46" s="24"/>
      <c r="EQ46" s="25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</row>
    <row r="47" spans="1:160" x14ac:dyDescent="0.25">
      <c r="A47">
        <v>4111</v>
      </c>
      <c r="B47">
        <v>2</v>
      </c>
      <c r="C47">
        <v>33</v>
      </c>
      <c r="D47" s="1">
        <v>1.73</v>
      </c>
      <c r="E47">
        <v>86</v>
      </c>
      <c r="F47">
        <v>28.73</v>
      </c>
      <c r="G47">
        <v>1</v>
      </c>
      <c r="H47">
        <v>12</v>
      </c>
      <c r="I47">
        <v>29</v>
      </c>
      <c r="J47">
        <v>2</v>
      </c>
      <c r="K47">
        <v>2</v>
      </c>
      <c r="L47">
        <v>3</v>
      </c>
      <c r="M47" s="1">
        <v>22.4</v>
      </c>
      <c r="N47">
        <v>22.28</v>
      </c>
      <c r="O47" s="1">
        <v>22</v>
      </c>
      <c r="P47" s="1">
        <v>-0.4</v>
      </c>
      <c r="Q47" s="1">
        <v>23.58</v>
      </c>
      <c r="R47" s="1">
        <v>1.18</v>
      </c>
      <c r="S47" s="1">
        <v>21</v>
      </c>
      <c r="T47">
        <v>0</v>
      </c>
      <c r="U47">
        <v>2</v>
      </c>
      <c r="V47">
        <v>0</v>
      </c>
      <c r="W47">
        <v>1</v>
      </c>
      <c r="X47">
        <v>1</v>
      </c>
      <c r="Y47">
        <v>9</v>
      </c>
      <c r="Z47">
        <v>19</v>
      </c>
      <c r="AA47">
        <v>2</v>
      </c>
      <c r="AB47">
        <v>1</v>
      </c>
      <c r="AC47">
        <v>16</v>
      </c>
      <c r="AD47">
        <v>3</v>
      </c>
      <c r="AE47">
        <v>2</v>
      </c>
      <c r="AF47">
        <v>3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10</v>
      </c>
      <c r="AM47">
        <v>2</v>
      </c>
      <c r="AN47">
        <v>9</v>
      </c>
      <c r="AO47">
        <v>9</v>
      </c>
      <c r="AP47">
        <v>10</v>
      </c>
      <c r="AQ47">
        <v>28</v>
      </c>
      <c r="AR47">
        <v>2</v>
      </c>
      <c r="AS47">
        <v>10</v>
      </c>
      <c r="AT47">
        <v>4</v>
      </c>
      <c r="AU47">
        <v>1</v>
      </c>
      <c r="AV47">
        <v>8</v>
      </c>
      <c r="AW47">
        <v>19</v>
      </c>
      <c r="AX47">
        <v>2</v>
      </c>
      <c r="AY47">
        <v>1</v>
      </c>
      <c r="AZ47">
        <v>21</v>
      </c>
      <c r="BA47">
        <v>3</v>
      </c>
      <c r="BB47">
        <v>3</v>
      </c>
      <c r="BC47">
        <v>3</v>
      </c>
      <c r="BD47">
        <v>1</v>
      </c>
      <c r="BE47">
        <v>3</v>
      </c>
      <c r="BF47">
        <v>1</v>
      </c>
      <c r="BG47">
        <v>0</v>
      </c>
      <c r="BH47">
        <v>2</v>
      </c>
      <c r="BI47">
        <v>13</v>
      </c>
      <c r="BJ47">
        <v>2</v>
      </c>
      <c r="BK47">
        <v>8</v>
      </c>
      <c r="BL47">
        <v>10</v>
      </c>
      <c r="BM47">
        <v>8</v>
      </c>
      <c r="BN47">
        <v>26</v>
      </c>
      <c r="BO47">
        <v>2</v>
      </c>
      <c r="BP47">
        <v>10</v>
      </c>
      <c r="BQ47">
        <v>4</v>
      </c>
      <c r="BR47">
        <v>2</v>
      </c>
      <c r="BS47">
        <v>2</v>
      </c>
      <c r="BT47">
        <v>4</v>
      </c>
      <c r="BU47">
        <v>2</v>
      </c>
      <c r="BV47">
        <v>2</v>
      </c>
      <c r="BW47">
        <v>5</v>
      </c>
      <c r="BX47">
        <v>2</v>
      </c>
      <c r="BY47">
        <v>2</v>
      </c>
      <c r="BZ47">
        <v>2</v>
      </c>
      <c r="CA47">
        <v>1</v>
      </c>
      <c r="CB47">
        <v>1</v>
      </c>
      <c r="CC47">
        <v>13</v>
      </c>
      <c r="CD47">
        <v>1</v>
      </c>
      <c r="CE47">
        <v>1</v>
      </c>
      <c r="CF47">
        <v>1</v>
      </c>
      <c r="CG47">
        <v>24</v>
      </c>
      <c r="CH47">
        <v>31</v>
      </c>
      <c r="CI47">
        <v>16</v>
      </c>
      <c r="CJ47">
        <v>27</v>
      </c>
      <c r="CK47">
        <v>28</v>
      </c>
      <c r="CL47">
        <v>24</v>
      </c>
      <c r="CM47">
        <v>24</v>
      </c>
      <c r="CN47">
        <v>14</v>
      </c>
      <c r="CO47">
        <v>22</v>
      </c>
      <c r="CP47" s="26">
        <v>30</v>
      </c>
      <c r="CQ47" s="20">
        <v>7</v>
      </c>
      <c r="CR47" s="24">
        <v>23.861904761904764</v>
      </c>
      <c r="CS47" s="24">
        <v>24.123809523809523</v>
      </c>
      <c r="CT47" s="24">
        <v>8.4404761904761898</v>
      </c>
      <c r="CU47" s="24">
        <v>514.71428571428567</v>
      </c>
      <c r="CV47" s="24">
        <v>471.14285714285717</v>
      </c>
      <c r="CW47" s="24">
        <v>15.714285714285714</v>
      </c>
      <c r="CX47" s="24">
        <v>91.643061116273444</v>
      </c>
      <c r="CY47" s="25">
        <v>27.857142857142858</v>
      </c>
      <c r="CZ47" s="20">
        <v>7</v>
      </c>
      <c r="DA47" s="24">
        <v>23.576190476190479</v>
      </c>
      <c r="DB47" s="24">
        <v>23.900000000000002</v>
      </c>
      <c r="DC47" s="24">
        <v>8.2833333333333332</v>
      </c>
      <c r="DD47" s="24">
        <v>8.4404761904761898</v>
      </c>
      <c r="DE47" s="24">
        <v>531.85714285714289</v>
      </c>
      <c r="DF47" s="24">
        <v>444</v>
      </c>
      <c r="DG47" s="24">
        <v>8.4</v>
      </c>
      <c r="DH47" s="24">
        <v>85.724000000000004</v>
      </c>
      <c r="DI47" s="24">
        <v>50.6</v>
      </c>
      <c r="DJ47" s="24">
        <v>88.015067158713563</v>
      </c>
      <c r="DK47" s="24">
        <v>88.68322010032476</v>
      </c>
      <c r="DL47" s="25">
        <v>87.839010545943395</v>
      </c>
      <c r="DM47" s="20">
        <v>20</v>
      </c>
      <c r="DN47" s="24">
        <v>22.024999999999999</v>
      </c>
      <c r="DO47" s="24">
        <v>23.52</v>
      </c>
      <c r="DP47" s="24">
        <v>8.077499999999997</v>
      </c>
      <c r="DQ47" s="24">
        <v>603.15</v>
      </c>
      <c r="DR47" s="24">
        <v>495.33333333333331</v>
      </c>
      <c r="DS47" s="24">
        <v>89.7</v>
      </c>
      <c r="DT47" s="24">
        <v>82.724626007451889</v>
      </c>
      <c r="DU47" s="25">
        <v>17.5</v>
      </c>
      <c r="DV47" s="20">
        <v>20</v>
      </c>
      <c r="DW47" s="24">
        <v>22.074999999999999</v>
      </c>
      <c r="DX47" s="24">
        <v>22.297916666666666</v>
      </c>
      <c r="DY47" s="24">
        <v>7.9520833333333325</v>
      </c>
      <c r="DZ47" s="24">
        <v>8.077499999999997</v>
      </c>
      <c r="EA47" s="24">
        <v>602.375</v>
      </c>
      <c r="EB47" s="24">
        <v>531</v>
      </c>
      <c r="EC47" s="24">
        <v>531</v>
      </c>
      <c r="ED47" s="24">
        <v>88.627499999999984</v>
      </c>
      <c r="EE47" s="24">
        <v>44.25</v>
      </c>
      <c r="EF47" s="24">
        <v>89.936807679298383</v>
      </c>
      <c r="EG47" s="24">
        <v>92.761629630853122</v>
      </c>
      <c r="EH47" s="25">
        <v>91.755099829242056</v>
      </c>
      <c r="EI47" s="20">
        <v>20</v>
      </c>
      <c r="EJ47" s="24">
        <v>22.024999999999999</v>
      </c>
      <c r="EK47" s="24">
        <v>23.52</v>
      </c>
      <c r="EL47" s="24">
        <v>8.077499999999997</v>
      </c>
      <c r="EM47" s="24">
        <v>603.15</v>
      </c>
      <c r="EN47" s="24">
        <v>495.33333333333331</v>
      </c>
      <c r="EO47" s="24">
        <v>89.7</v>
      </c>
      <c r="EP47" s="24">
        <v>82.724626007451889</v>
      </c>
      <c r="EQ47" s="25">
        <v>17.5</v>
      </c>
      <c r="ER47" s="20">
        <v>20</v>
      </c>
      <c r="ES47" s="24">
        <v>22.074999999999999</v>
      </c>
      <c r="ET47" s="24">
        <v>22.297916666666666</v>
      </c>
      <c r="EU47" s="24">
        <v>7.9520833333333325</v>
      </c>
      <c r="EV47" s="24">
        <v>8.077499999999997</v>
      </c>
      <c r="EW47" s="24">
        <v>602.375</v>
      </c>
      <c r="EX47" s="24">
        <v>531</v>
      </c>
      <c r="EY47" s="24">
        <v>17.875</v>
      </c>
      <c r="EZ47" s="24">
        <v>88.627499999999984</v>
      </c>
      <c r="FA47" s="24">
        <v>44.25</v>
      </c>
      <c r="FB47" s="24">
        <v>89.936807679298383</v>
      </c>
      <c r="FC47" s="24">
        <v>92.761629630853122</v>
      </c>
      <c r="FD47" s="24">
        <v>91.755099829242056</v>
      </c>
    </row>
    <row r="48" spans="1:160" x14ac:dyDescent="0.25">
      <c r="A48">
        <v>4114</v>
      </c>
      <c r="B48">
        <v>2</v>
      </c>
      <c r="C48">
        <v>47</v>
      </c>
      <c r="D48" s="1">
        <v>1.74</v>
      </c>
      <c r="E48">
        <v>56</v>
      </c>
      <c r="F48">
        <v>18.5</v>
      </c>
      <c r="G48">
        <v>2</v>
      </c>
      <c r="H48">
        <v>13</v>
      </c>
      <c r="I48">
        <v>29</v>
      </c>
      <c r="J48">
        <v>2</v>
      </c>
      <c r="K48">
        <v>3</v>
      </c>
      <c r="L48">
        <v>3</v>
      </c>
      <c r="M48" s="1">
        <v>21.83</v>
      </c>
      <c r="O48" s="1">
        <v>22</v>
      </c>
      <c r="P48" s="1">
        <v>0.17</v>
      </c>
      <c r="Q48" s="1">
        <v>23.13</v>
      </c>
      <c r="R48" s="1">
        <v>1.3</v>
      </c>
      <c r="S48" s="1">
        <v>21</v>
      </c>
      <c r="T48">
        <v>0</v>
      </c>
      <c r="U48">
        <v>2</v>
      </c>
      <c r="V48">
        <v>0</v>
      </c>
      <c r="W48">
        <v>10</v>
      </c>
      <c r="X48">
        <v>2</v>
      </c>
      <c r="Y48">
        <v>2</v>
      </c>
      <c r="Z48">
        <v>0</v>
      </c>
      <c r="AA48">
        <v>1</v>
      </c>
      <c r="AB48">
        <v>1</v>
      </c>
      <c r="AC48">
        <v>7</v>
      </c>
      <c r="AD48">
        <v>1</v>
      </c>
      <c r="AE48">
        <v>1</v>
      </c>
      <c r="AF48">
        <v>2</v>
      </c>
      <c r="AG48">
        <v>1</v>
      </c>
      <c r="AH48">
        <v>0</v>
      </c>
      <c r="AI48">
        <v>1</v>
      </c>
      <c r="AJ48">
        <v>0</v>
      </c>
      <c r="AK48">
        <v>2</v>
      </c>
      <c r="AL48">
        <v>7</v>
      </c>
      <c r="AM48">
        <v>2</v>
      </c>
      <c r="AN48">
        <v>2</v>
      </c>
      <c r="AO48">
        <v>3</v>
      </c>
      <c r="AP48">
        <v>4</v>
      </c>
      <c r="AQ48">
        <v>9</v>
      </c>
      <c r="AR48">
        <v>0</v>
      </c>
      <c r="AS48">
        <v>0</v>
      </c>
      <c r="AT48">
        <v>8</v>
      </c>
      <c r="AU48">
        <v>1</v>
      </c>
      <c r="AV48">
        <v>3</v>
      </c>
      <c r="AW48">
        <v>2</v>
      </c>
      <c r="AX48">
        <v>1</v>
      </c>
      <c r="AY48">
        <v>1</v>
      </c>
      <c r="AZ48">
        <v>12</v>
      </c>
      <c r="BA48">
        <v>2</v>
      </c>
      <c r="BB48">
        <v>1</v>
      </c>
      <c r="BC48">
        <v>2</v>
      </c>
      <c r="BD48">
        <v>1</v>
      </c>
      <c r="BE48">
        <v>1</v>
      </c>
      <c r="BF48">
        <v>1</v>
      </c>
      <c r="BG48">
        <v>0</v>
      </c>
      <c r="BH48">
        <v>1</v>
      </c>
      <c r="BI48">
        <v>7</v>
      </c>
      <c r="BJ48">
        <v>2</v>
      </c>
      <c r="BK48">
        <v>3</v>
      </c>
      <c r="BL48">
        <v>2</v>
      </c>
      <c r="BM48">
        <v>4</v>
      </c>
      <c r="BN48">
        <v>9</v>
      </c>
      <c r="BO48">
        <v>0</v>
      </c>
      <c r="BP48">
        <v>2</v>
      </c>
      <c r="BQ48">
        <v>5</v>
      </c>
      <c r="BR48">
        <v>2</v>
      </c>
      <c r="BS48">
        <v>2</v>
      </c>
      <c r="BT48">
        <v>5</v>
      </c>
      <c r="BU48">
        <v>2</v>
      </c>
      <c r="BV48">
        <v>2</v>
      </c>
      <c r="BW48">
        <v>4</v>
      </c>
      <c r="BX48">
        <v>2</v>
      </c>
      <c r="BY48">
        <v>2</v>
      </c>
      <c r="BZ48">
        <v>2</v>
      </c>
      <c r="CA48">
        <v>1</v>
      </c>
      <c r="CB48">
        <v>1</v>
      </c>
      <c r="CC48">
        <v>13</v>
      </c>
      <c r="CD48">
        <v>2</v>
      </c>
      <c r="CE48">
        <v>1</v>
      </c>
      <c r="CF48">
        <v>2</v>
      </c>
      <c r="CG48">
        <v>23</v>
      </c>
      <c r="CH48">
        <v>24</v>
      </c>
      <c r="CI48">
        <v>26</v>
      </c>
      <c r="CJ48">
        <v>27</v>
      </c>
      <c r="CK48">
        <v>33</v>
      </c>
      <c r="CL48">
        <v>21</v>
      </c>
      <c r="CM48">
        <v>21</v>
      </c>
      <c r="CN48">
        <v>12</v>
      </c>
      <c r="CO48">
        <v>18</v>
      </c>
      <c r="CP48" s="26">
        <v>24</v>
      </c>
      <c r="CQ48" s="20">
        <v>7</v>
      </c>
      <c r="CR48" s="24">
        <v>23.133333333333333</v>
      </c>
      <c r="CS48" s="24">
        <v>24.514285714285712</v>
      </c>
      <c r="CT48" s="24">
        <v>7.3095238095238093</v>
      </c>
      <c r="CU48" s="24">
        <v>490.57142857142856</v>
      </c>
      <c r="CV48" s="24">
        <v>381.28571428571428</v>
      </c>
      <c r="CW48" s="24">
        <v>82.857142857142861</v>
      </c>
      <c r="CX48" s="24">
        <v>78.192877206627372</v>
      </c>
      <c r="CY48" s="25">
        <v>26.428571428571427</v>
      </c>
      <c r="CZ48" s="20">
        <v>7</v>
      </c>
      <c r="DA48" s="24">
        <v>23.133333333333333</v>
      </c>
      <c r="DB48" s="24">
        <v>23.438095238095237</v>
      </c>
      <c r="DC48" s="24">
        <v>6.9690476190476192</v>
      </c>
      <c r="DD48" s="24">
        <v>7.3095238095238093</v>
      </c>
      <c r="DE48" s="24">
        <v>490.57142857142856</v>
      </c>
      <c r="DF48" s="24">
        <v>421.42857142857144</v>
      </c>
      <c r="DG48" s="24">
        <v>18.285714285714285</v>
      </c>
      <c r="DH48" s="24">
        <v>86.108571428571423</v>
      </c>
      <c r="DI48" s="24">
        <v>30.428571428571427</v>
      </c>
      <c r="DJ48" s="24">
        <v>88.922673767099056</v>
      </c>
      <c r="DK48" s="24">
        <v>93.164243150988426</v>
      </c>
      <c r="DL48" s="25">
        <v>86.012759458754687</v>
      </c>
      <c r="DM48" s="20">
        <v>15</v>
      </c>
      <c r="DN48" s="24">
        <v>22.422222222222221</v>
      </c>
      <c r="DO48" s="24">
        <v>23.733333333333338</v>
      </c>
      <c r="DP48" s="24">
        <v>6.8666666666666654</v>
      </c>
      <c r="DQ48" s="24">
        <v>506.66666666666669</v>
      </c>
      <c r="DR48" s="24">
        <v>419.4</v>
      </c>
      <c r="DS48" s="24">
        <v>78.666666666666671</v>
      </c>
      <c r="DT48" s="24">
        <v>82.578222694594288</v>
      </c>
      <c r="DU48" s="25">
        <v>8.6</v>
      </c>
      <c r="DV48" s="20">
        <v>15</v>
      </c>
      <c r="DW48" s="24">
        <v>23.355555555555554</v>
      </c>
      <c r="DX48" s="24">
        <v>23.54666666666667</v>
      </c>
      <c r="DY48" s="24">
        <v>8.1788888888888884</v>
      </c>
      <c r="DZ48" s="24">
        <v>8.3333333333333321</v>
      </c>
      <c r="EA48" s="24">
        <v>538.66666666666663</v>
      </c>
      <c r="EB48" s="24">
        <v>483.2</v>
      </c>
      <c r="EC48" s="24">
        <v>483.2</v>
      </c>
      <c r="ED48" s="24">
        <v>89.758666666666656</v>
      </c>
      <c r="EE48" s="24">
        <v>34.733333333333334</v>
      </c>
      <c r="EF48" s="24">
        <v>87.98145359127335</v>
      </c>
      <c r="EG48" s="24">
        <v>93.631168063723052</v>
      </c>
      <c r="EH48" s="25">
        <v>93.431150929402463</v>
      </c>
      <c r="EI48" s="20">
        <v>14</v>
      </c>
      <c r="EJ48" s="24">
        <v>22.571428571428573</v>
      </c>
      <c r="EK48" s="24">
        <v>23.952380952380953</v>
      </c>
      <c r="EL48" s="24">
        <v>6.8571428571428559</v>
      </c>
      <c r="EM48" s="24">
        <v>497.14285714285717</v>
      </c>
      <c r="EN48" s="24">
        <v>405.78571428571428</v>
      </c>
      <c r="EO48" s="24">
        <v>82.857142857142861</v>
      </c>
      <c r="EP48" s="24">
        <v>81.668631458493877</v>
      </c>
      <c r="EQ48" s="25">
        <v>8.5</v>
      </c>
      <c r="ER48" s="20">
        <v>10</v>
      </c>
      <c r="ES48" s="24">
        <v>23.166666666666664</v>
      </c>
      <c r="ET48" s="24">
        <v>23.36</v>
      </c>
      <c r="EU48" s="24">
        <v>7.9766666666666683</v>
      </c>
      <c r="EV48" s="24">
        <v>8.1583333333333332</v>
      </c>
      <c r="EW48" s="24">
        <v>539.5</v>
      </c>
      <c r="EX48" s="24">
        <v>478.4</v>
      </c>
      <c r="EY48" s="24">
        <v>11.6</v>
      </c>
      <c r="EZ48" s="24">
        <v>88.762999999999991</v>
      </c>
      <c r="FA48" s="24">
        <v>38.6</v>
      </c>
      <c r="FB48" s="24">
        <v>86.600114970866883</v>
      </c>
      <c r="FC48" s="24">
        <v>93.068164885229947</v>
      </c>
      <c r="FD48" s="24">
        <v>93.199650372344706</v>
      </c>
    </row>
    <row r="49" spans="1:160" x14ac:dyDescent="0.25">
      <c r="A49">
        <v>4115</v>
      </c>
      <c r="B49">
        <v>1</v>
      </c>
      <c r="C49">
        <v>46</v>
      </c>
      <c r="D49" s="1">
        <v>1.78</v>
      </c>
      <c r="E49">
        <v>85</v>
      </c>
      <c r="F49">
        <v>26.83</v>
      </c>
      <c r="G49">
        <v>2</v>
      </c>
      <c r="H49">
        <v>9</v>
      </c>
      <c r="I49">
        <v>27</v>
      </c>
      <c r="J49">
        <v>2</v>
      </c>
      <c r="K49">
        <v>1</v>
      </c>
      <c r="L49">
        <v>3</v>
      </c>
      <c r="M49" s="1">
        <v>24.32</v>
      </c>
      <c r="N49">
        <v>23.72</v>
      </c>
      <c r="O49" s="1">
        <v>23.5</v>
      </c>
      <c r="P49" s="1">
        <v>-0.82</v>
      </c>
      <c r="Q49" s="1">
        <v>24.15</v>
      </c>
      <c r="R49" s="1">
        <v>-0.17</v>
      </c>
      <c r="S49" s="1">
        <v>22.5</v>
      </c>
      <c r="T49">
        <v>0</v>
      </c>
      <c r="U49">
        <v>2</v>
      </c>
      <c r="V49">
        <v>1</v>
      </c>
      <c r="W49">
        <v>3</v>
      </c>
      <c r="X49">
        <v>1</v>
      </c>
      <c r="Y49">
        <v>4</v>
      </c>
      <c r="Z49">
        <v>0</v>
      </c>
      <c r="AA49">
        <v>1</v>
      </c>
      <c r="AB49">
        <v>1</v>
      </c>
      <c r="AC49">
        <v>16</v>
      </c>
      <c r="AD49">
        <v>3</v>
      </c>
      <c r="AE49">
        <v>2</v>
      </c>
      <c r="AF49">
        <v>3</v>
      </c>
      <c r="AG49">
        <v>3</v>
      </c>
      <c r="AH49">
        <v>3</v>
      </c>
      <c r="AI49">
        <v>1</v>
      </c>
      <c r="AJ49">
        <v>3</v>
      </c>
      <c r="AK49">
        <v>1</v>
      </c>
      <c r="AL49">
        <v>16</v>
      </c>
      <c r="AM49">
        <v>2</v>
      </c>
      <c r="AN49">
        <v>3</v>
      </c>
      <c r="AO49">
        <v>3</v>
      </c>
      <c r="AP49">
        <v>3</v>
      </c>
      <c r="AQ49">
        <v>9</v>
      </c>
      <c r="AR49">
        <v>0</v>
      </c>
      <c r="AS49">
        <v>2</v>
      </c>
      <c r="AT49">
        <v>1</v>
      </c>
      <c r="AU49">
        <v>1</v>
      </c>
      <c r="AV49">
        <v>1</v>
      </c>
      <c r="AW49">
        <v>0</v>
      </c>
      <c r="AX49">
        <v>1</v>
      </c>
      <c r="AY49">
        <v>1</v>
      </c>
      <c r="AZ49">
        <v>11</v>
      </c>
      <c r="BA49">
        <v>2</v>
      </c>
      <c r="BB49">
        <v>2</v>
      </c>
      <c r="BC49">
        <v>2</v>
      </c>
      <c r="BD49">
        <v>3</v>
      </c>
      <c r="BE49">
        <v>3</v>
      </c>
      <c r="BF49">
        <v>1</v>
      </c>
      <c r="BG49">
        <v>0</v>
      </c>
      <c r="BH49">
        <v>0</v>
      </c>
      <c r="BI49">
        <v>11</v>
      </c>
      <c r="BJ49">
        <v>2</v>
      </c>
      <c r="BK49">
        <v>2</v>
      </c>
      <c r="BL49">
        <v>2</v>
      </c>
      <c r="BM49">
        <v>2</v>
      </c>
      <c r="BN49">
        <v>6</v>
      </c>
      <c r="BO49">
        <v>0</v>
      </c>
      <c r="BP49">
        <v>5</v>
      </c>
      <c r="BQ49">
        <v>4</v>
      </c>
      <c r="BR49">
        <v>2</v>
      </c>
      <c r="BS49">
        <v>2</v>
      </c>
      <c r="BT49">
        <v>3</v>
      </c>
      <c r="BU49">
        <v>2</v>
      </c>
      <c r="BV49">
        <v>1</v>
      </c>
      <c r="BW49">
        <v>4</v>
      </c>
      <c r="BX49">
        <v>2</v>
      </c>
      <c r="BY49">
        <v>2</v>
      </c>
      <c r="BZ49">
        <v>2</v>
      </c>
      <c r="CA49">
        <v>1</v>
      </c>
      <c r="CB49">
        <v>2</v>
      </c>
      <c r="CC49">
        <v>14</v>
      </c>
      <c r="CD49">
        <v>3</v>
      </c>
      <c r="CE49">
        <v>1</v>
      </c>
      <c r="CF49">
        <v>2</v>
      </c>
      <c r="CG49">
        <v>24</v>
      </c>
      <c r="CH49">
        <v>30</v>
      </c>
      <c r="CI49">
        <v>23</v>
      </c>
      <c r="CJ49">
        <v>24</v>
      </c>
      <c r="CK49">
        <v>32</v>
      </c>
      <c r="CL49">
        <v>16</v>
      </c>
      <c r="CM49">
        <v>13</v>
      </c>
      <c r="CN49">
        <v>18</v>
      </c>
      <c r="CO49">
        <v>12</v>
      </c>
      <c r="CP49" s="26">
        <v>12</v>
      </c>
      <c r="CQ49" s="20">
        <v>7</v>
      </c>
      <c r="CR49" s="24">
        <v>23.869047619047617</v>
      </c>
      <c r="CS49" s="24">
        <v>24.761904761904759</v>
      </c>
      <c r="CT49" s="24">
        <v>6.988095238095239</v>
      </c>
      <c r="CU49" s="24">
        <v>427.14285714285717</v>
      </c>
      <c r="CV49" s="24">
        <v>291.42857142857144</v>
      </c>
      <c r="CW49" s="24">
        <v>53.571428571428569</v>
      </c>
      <c r="CX49" s="24">
        <v>68.39432734251676</v>
      </c>
      <c r="CY49" s="25">
        <v>82.142857142857139</v>
      </c>
      <c r="CZ49" s="20">
        <v>7</v>
      </c>
      <c r="DA49" s="24">
        <v>24.154761904761902</v>
      </c>
      <c r="DB49" s="24">
        <v>24.583333333333336</v>
      </c>
      <c r="DC49" s="24">
        <v>7.0261904761904761</v>
      </c>
      <c r="DD49" s="24">
        <v>7.2738095238095246</v>
      </c>
      <c r="DE49" s="24">
        <v>427.14285714285717</v>
      </c>
      <c r="DF49" s="24">
        <v>334.28571428571428</v>
      </c>
      <c r="DG49" s="24">
        <v>25.714285714285715</v>
      </c>
      <c r="DH49" s="24">
        <v>77.865714285714276</v>
      </c>
      <c r="DI49" s="24">
        <v>52.285714285714285</v>
      </c>
      <c r="DJ49" s="24">
        <v>80.500609692637752</v>
      </c>
      <c r="DK49" s="24">
        <v>86.633881707311161</v>
      </c>
      <c r="DL49" s="25">
        <v>78.57232408130389</v>
      </c>
      <c r="DM49" s="20">
        <v>19</v>
      </c>
      <c r="DN49" s="24">
        <v>23.706140350877192</v>
      </c>
      <c r="DO49" s="24">
        <v>24.473684210526311</v>
      </c>
      <c r="DP49" s="24">
        <v>6.9605263157894735</v>
      </c>
      <c r="DQ49" s="24">
        <v>435.26315789473682</v>
      </c>
      <c r="DR49" s="24">
        <v>309.21052631578948</v>
      </c>
      <c r="DS49" s="24">
        <v>46.05263157894737</v>
      </c>
      <c r="DT49" s="24">
        <v>70.75703311606307</v>
      </c>
      <c r="DU49" s="25">
        <v>80</v>
      </c>
      <c r="DV49" s="20">
        <v>18</v>
      </c>
      <c r="DW49" s="24">
        <v>24.703703703703702</v>
      </c>
      <c r="DX49" s="24">
        <v>25.032407407407408</v>
      </c>
      <c r="DY49" s="24">
        <v>7.6583333333333332</v>
      </c>
      <c r="DZ49" s="24">
        <v>8.06388888888889</v>
      </c>
      <c r="EA49" s="24">
        <v>441.61111111111109</v>
      </c>
      <c r="EB49" s="24">
        <v>347.33333333333331</v>
      </c>
      <c r="EC49" s="24">
        <v>347.33333333333331</v>
      </c>
      <c r="ED49" s="24">
        <v>78.678333333333327</v>
      </c>
      <c r="EE49" s="24">
        <v>50.222222222222221</v>
      </c>
      <c r="EF49" s="24">
        <v>79.915450791101364</v>
      </c>
      <c r="EG49" s="24">
        <v>87.855303049211315</v>
      </c>
      <c r="EH49" s="25">
        <v>81.641014893380429</v>
      </c>
      <c r="EI49" s="20">
        <v>19</v>
      </c>
      <c r="EJ49" s="24">
        <v>23.706140350877192</v>
      </c>
      <c r="EK49" s="24">
        <v>24.473684210526311</v>
      </c>
      <c r="EL49" s="24">
        <v>6.9605263157894735</v>
      </c>
      <c r="EM49" s="24">
        <v>435.26315789473682</v>
      </c>
      <c r="EN49" s="24">
        <v>309.21052631578948</v>
      </c>
      <c r="EO49" s="24">
        <v>46.05263157894737</v>
      </c>
      <c r="EP49" s="24">
        <v>70.75703311606307</v>
      </c>
      <c r="EQ49" s="25">
        <v>80</v>
      </c>
      <c r="ER49" s="20">
        <v>10</v>
      </c>
      <c r="ES49" s="24">
        <v>24.533333333333331</v>
      </c>
      <c r="ET49" s="24">
        <v>24.880000000000003</v>
      </c>
      <c r="EU49" s="24">
        <v>7.7116666666666678</v>
      </c>
      <c r="EV49" s="24">
        <v>8.1316666666666659</v>
      </c>
      <c r="EW49" s="24">
        <v>455.9</v>
      </c>
      <c r="EX49" s="24">
        <v>361.4</v>
      </c>
      <c r="EY49" s="24">
        <v>20.8</v>
      </c>
      <c r="EZ49" s="24">
        <v>79.51400000000001</v>
      </c>
      <c r="FA49" s="24">
        <v>48.5</v>
      </c>
      <c r="FB49" s="24">
        <v>82.936218457072613</v>
      </c>
      <c r="FC49" s="24">
        <v>88.392410036880662</v>
      </c>
      <c r="FD49" s="24">
        <v>81.84303780167761</v>
      </c>
    </row>
    <row r="50" spans="1:160" x14ac:dyDescent="0.25">
      <c r="A50">
        <v>4118</v>
      </c>
      <c r="B50">
        <v>2</v>
      </c>
      <c r="C50">
        <v>36</v>
      </c>
      <c r="D50" s="1">
        <v>1.62</v>
      </c>
      <c r="E50">
        <v>65</v>
      </c>
      <c r="F50">
        <v>24.77</v>
      </c>
      <c r="G50">
        <v>2</v>
      </c>
      <c r="H50">
        <v>8</v>
      </c>
      <c r="I50">
        <v>22</v>
      </c>
      <c r="J50">
        <v>1</v>
      </c>
      <c r="K50">
        <v>1</v>
      </c>
      <c r="L50">
        <v>3</v>
      </c>
      <c r="M50" s="1">
        <v>20.57</v>
      </c>
      <c r="N50">
        <v>22.67</v>
      </c>
      <c r="O50" s="1">
        <v>21</v>
      </c>
      <c r="P50" s="1">
        <v>0.43</v>
      </c>
      <c r="Q50" s="1">
        <v>23.94</v>
      </c>
      <c r="R50" s="1">
        <v>3.37</v>
      </c>
      <c r="S50" s="1">
        <v>20</v>
      </c>
      <c r="T50">
        <v>0</v>
      </c>
      <c r="U50">
        <v>2</v>
      </c>
      <c r="V50">
        <v>0</v>
      </c>
      <c r="W50">
        <v>7</v>
      </c>
      <c r="X50">
        <v>1</v>
      </c>
      <c r="Y50">
        <v>2</v>
      </c>
      <c r="Z50">
        <v>11</v>
      </c>
      <c r="AA50">
        <v>1</v>
      </c>
      <c r="AB50">
        <v>1</v>
      </c>
      <c r="AC50">
        <v>10</v>
      </c>
      <c r="AD50">
        <v>2</v>
      </c>
      <c r="AE50">
        <v>2</v>
      </c>
      <c r="AF50">
        <v>2</v>
      </c>
      <c r="AG50">
        <v>1</v>
      </c>
      <c r="AH50">
        <v>1</v>
      </c>
      <c r="AI50">
        <v>1</v>
      </c>
      <c r="AJ50">
        <v>0</v>
      </c>
      <c r="AK50">
        <v>1</v>
      </c>
      <c r="AL50">
        <v>8</v>
      </c>
      <c r="AM50">
        <v>2</v>
      </c>
      <c r="AN50">
        <v>5</v>
      </c>
      <c r="AO50">
        <v>8</v>
      </c>
      <c r="AP50">
        <v>7</v>
      </c>
      <c r="AQ50">
        <v>20</v>
      </c>
      <c r="AR50">
        <v>1</v>
      </c>
      <c r="AS50">
        <v>3</v>
      </c>
      <c r="AT50">
        <v>6</v>
      </c>
      <c r="AU50">
        <v>1</v>
      </c>
      <c r="AV50">
        <v>1</v>
      </c>
      <c r="AW50">
        <v>5</v>
      </c>
      <c r="AX50">
        <v>1</v>
      </c>
      <c r="AY50">
        <v>1</v>
      </c>
      <c r="AZ50">
        <v>10</v>
      </c>
      <c r="BA50">
        <v>2</v>
      </c>
      <c r="BB50">
        <v>2</v>
      </c>
      <c r="BC50">
        <v>3</v>
      </c>
      <c r="BD50">
        <v>1</v>
      </c>
      <c r="BE50">
        <v>2</v>
      </c>
      <c r="BF50">
        <v>0</v>
      </c>
      <c r="BG50">
        <v>0</v>
      </c>
      <c r="BH50">
        <v>1</v>
      </c>
      <c r="BI50">
        <v>9</v>
      </c>
      <c r="BJ50">
        <v>2</v>
      </c>
      <c r="BK50">
        <v>7</v>
      </c>
      <c r="BL50">
        <v>5</v>
      </c>
      <c r="BM50">
        <v>6</v>
      </c>
      <c r="BN50">
        <v>18</v>
      </c>
      <c r="BO50">
        <v>2</v>
      </c>
      <c r="BP50">
        <v>10</v>
      </c>
      <c r="BQ50">
        <v>4</v>
      </c>
      <c r="BR50">
        <v>2</v>
      </c>
      <c r="BS50">
        <v>2</v>
      </c>
      <c r="BT50">
        <v>4</v>
      </c>
      <c r="BU50">
        <v>2</v>
      </c>
      <c r="BV50">
        <v>2</v>
      </c>
      <c r="BW50">
        <v>4</v>
      </c>
      <c r="BX50">
        <v>2</v>
      </c>
      <c r="BY50">
        <v>2</v>
      </c>
      <c r="BZ50">
        <v>2</v>
      </c>
      <c r="CA50">
        <v>1</v>
      </c>
      <c r="CB50">
        <v>1</v>
      </c>
      <c r="CC50">
        <v>13</v>
      </c>
      <c r="CD50">
        <v>1</v>
      </c>
      <c r="CE50">
        <v>1</v>
      </c>
      <c r="CF50">
        <v>2</v>
      </c>
      <c r="CG50">
        <v>17</v>
      </c>
      <c r="CH50">
        <v>25</v>
      </c>
      <c r="CI50">
        <v>20</v>
      </c>
      <c r="CJ50">
        <v>18</v>
      </c>
      <c r="CK50">
        <v>24</v>
      </c>
      <c r="CL50">
        <v>26</v>
      </c>
      <c r="CM50">
        <v>18</v>
      </c>
      <c r="CN50">
        <v>17</v>
      </c>
      <c r="CO50">
        <v>18</v>
      </c>
      <c r="CP50" s="26">
        <v>21</v>
      </c>
      <c r="CQ50" s="20">
        <v>7</v>
      </c>
      <c r="CR50" s="24">
        <v>23.940476190476193</v>
      </c>
      <c r="CS50" s="24">
        <v>24.416666666666664</v>
      </c>
      <c r="CT50" s="24">
        <v>7.5404761904761903</v>
      </c>
      <c r="CU50" s="24">
        <v>456</v>
      </c>
      <c r="CV50" s="24">
        <v>422.85714285714283</v>
      </c>
      <c r="CW50" s="24">
        <v>28.571428571428573</v>
      </c>
      <c r="CX50" s="24">
        <v>92.899109616502145</v>
      </c>
      <c r="CY50" s="25">
        <v>4.5714285714285712</v>
      </c>
      <c r="CZ50" s="20">
        <v>7</v>
      </c>
      <c r="DA50" s="24">
        <v>23.940476190476193</v>
      </c>
      <c r="DB50" s="24">
        <v>24.140476190476189</v>
      </c>
      <c r="DC50" s="24">
        <v>7.1761904761904765</v>
      </c>
      <c r="DD50" s="24">
        <v>7.5404761904761903</v>
      </c>
      <c r="DE50" s="24">
        <v>456</v>
      </c>
      <c r="DF50" s="24">
        <v>378.28571428571428</v>
      </c>
      <c r="DG50" s="24">
        <v>12</v>
      </c>
      <c r="DH50" s="24">
        <v>83.33</v>
      </c>
      <c r="DI50" s="24">
        <v>43.857142857142854</v>
      </c>
      <c r="DJ50" s="24">
        <v>86.521465190915833</v>
      </c>
      <c r="DK50" s="24">
        <v>89.772208855296199</v>
      </c>
      <c r="DL50" s="25">
        <v>86.017684177770079</v>
      </c>
      <c r="DM50" s="20">
        <v>17</v>
      </c>
      <c r="DN50" s="24">
        <v>21.573529411764703</v>
      </c>
      <c r="DO50" s="24">
        <v>22.950980392156861</v>
      </c>
      <c r="DP50" s="24">
        <v>7.4049019607843141</v>
      </c>
      <c r="DQ50" s="24">
        <v>589.88235294117646</v>
      </c>
      <c r="DR50" s="24">
        <v>503.70588235294116</v>
      </c>
      <c r="DS50" s="24">
        <v>82.647058823529406</v>
      </c>
      <c r="DT50" s="24">
        <v>85.492185428291364</v>
      </c>
      <c r="DU50" s="25">
        <v>3.5294117647058822</v>
      </c>
      <c r="DV50" s="20">
        <v>17</v>
      </c>
      <c r="DW50" s="24">
        <v>23.249999999999996</v>
      </c>
      <c r="DX50" s="24">
        <v>23.710784313725494</v>
      </c>
      <c r="DY50" s="24">
        <v>7.8833333333333337</v>
      </c>
      <c r="DZ50" s="24">
        <v>8.1107843137254907</v>
      </c>
      <c r="EA50" s="24">
        <v>531.64705882352939</v>
      </c>
      <c r="EB50" s="24">
        <v>443.70588235294116</v>
      </c>
      <c r="EC50" s="24">
        <v>443.70588235294116</v>
      </c>
      <c r="ED50" s="24">
        <v>83.471176470588247</v>
      </c>
      <c r="EE50" s="24">
        <v>46.647058823529413</v>
      </c>
      <c r="EF50" s="24">
        <v>80.865075545377806</v>
      </c>
      <c r="EG50" s="24">
        <v>91.781761597168355</v>
      </c>
      <c r="EH50" s="25">
        <v>88.274656110365868</v>
      </c>
      <c r="EI50" s="20">
        <v>14</v>
      </c>
      <c r="EJ50" s="24">
        <v>21.398809523809522</v>
      </c>
      <c r="EK50" s="24">
        <v>22.892857142857142</v>
      </c>
      <c r="EL50" s="24">
        <v>7.2809523809523826</v>
      </c>
      <c r="EM50" s="24">
        <v>592.92857142857144</v>
      </c>
      <c r="EN50" s="24">
        <v>499</v>
      </c>
      <c r="EO50" s="24">
        <v>89.642857142857139</v>
      </c>
      <c r="EP50" s="24">
        <v>84.254878123605224</v>
      </c>
      <c r="EQ50" s="25">
        <v>4.2857142857142856</v>
      </c>
      <c r="ER50" s="20">
        <v>3</v>
      </c>
      <c r="ES50" s="24">
        <v>21.744444444444444</v>
      </c>
      <c r="ET50" s="24">
        <v>22.366666666666671</v>
      </c>
      <c r="EU50" s="24">
        <v>6.9333333333333336</v>
      </c>
      <c r="EV50" s="24">
        <v>7.1777777777777771</v>
      </c>
      <c r="EW50" s="24">
        <v>566</v>
      </c>
      <c r="EX50" s="24">
        <v>467</v>
      </c>
      <c r="EY50" s="24">
        <v>37.333333333333336</v>
      </c>
      <c r="EZ50" s="24">
        <v>82.43</v>
      </c>
      <c r="FA50" s="24">
        <v>47</v>
      </c>
      <c r="FB50" s="24">
        <v>80.069837515136157</v>
      </c>
      <c r="FC50" s="24">
        <v>90.019651858377884</v>
      </c>
      <c r="FD50" s="24">
        <v>87.933681482635166</v>
      </c>
    </row>
    <row r="51" spans="1:160" x14ac:dyDescent="0.25">
      <c r="A51">
        <v>4119</v>
      </c>
      <c r="B51">
        <v>1</v>
      </c>
      <c r="C51">
        <v>30</v>
      </c>
      <c r="D51" s="1">
        <v>1.93</v>
      </c>
      <c r="E51">
        <v>98</v>
      </c>
      <c r="F51">
        <v>26.31</v>
      </c>
      <c r="G51">
        <v>1</v>
      </c>
      <c r="H51">
        <v>17</v>
      </c>
      <c r="I51">
        <v>19</v>
      </c>
      <c r="J51">
        <v>1</v>
      </c>
      <c r="K51">
        <v>3</v>
      </c>
      <c r="L51">
        <v>3</v>
      </c>
      <c r="M51" s="1">
        <v>24</v>
      </c>
      <c r="N51">
        <v>23.32</v>
      </c>
      <c r="O51" s="1">
        <v>23</v>
      </c>
      <c r="P51" s="1">
        <v>-1</v>
      </c>
      <c r="S51" s="1">
        <v>22</v>
      </c>
      <c r="T51">
        <v>1</v>
      </c>
      <c r="U51">
        <v>2</v>
      </c>
      <c r="V51">
        <v>0</v>
      </c>
      <c r="W51">
        <v>1</v>
      </c>
      <c r="X51">
        <v>1</v>
      </c>
      <c r="Y51">
        <v>6</v>
      </c>
      <c r="Z51">
        <v>12</v>
      </c>
      <c r="AA51">
        <v>1</v>
      </c>
      <c r="AB51">
        <v>1</v>
      </c>
      <c r="AC51">
        <v>14</v>
      </c>
      <c r="AD51">
        <v>2</v>
      </c>
      <c r="AE51">
        <v>1</v>
      </c>
      <c r="AF51">
        <v>3</v>
      </c>
      <c r="AG51">
        <v>2</v>
      </c>
      <c r="AH51">
        <v>2</v>
      </c>
      <c r="AI51">
        <v>1</v>
      </c>
      <c r="AJ51">
        <v>0</v>
      </c>
      <c r="AK51">
        <v>0</v>
      </c>
      <c r="AL51">
        <v>9</v>
      </c>
      <c r="AM51">
        <v>2</v>
      </c>
      <c r="AN51">
        <v>7</v>
      </c>
      <c r="AO51">
        <v>2</v>
      </c>
      <c r="AP51">
        <v>7</v>
      </c>
      <c r="AQ51">
        <v>16</v>
      </c>
      <c r="AR51">
        <v>0</v>
      </c>
      <c r="AS51">
        <v>10</v>
      </c>
      <c r="AT51">
        <v>1</v>
      </c>
      <c r="AU51">
        <v>1</v>
      </c>
      <c r="AV51">
        <v>2</v>
      </c>
      <c r="AW51">
        <v>6</v>
      </c>
      <c r="AX51">
        <v>1</v>
      </c>
      <c r="AY51">
        <v>1</v>
      </c>
      <c r="AZ51">
        <v>8</v>
      </c>
      <c r="BA51">
        <v>2</v>
      </c>
      <c r="BB51">
        <v>1</v>
      </c>
      <c r="BC51">
        <v>3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7</v>
      </c>
      <c r="BJ51">
        <v>2</v>
      </c>
      <c r="BK51">
        <v>2</v>
      </c>
      <c r="BL51">
        <v>3</v>
      </c>
      <c r="BM51">
        <v>5</v>
      </c>
      <c r="BN51">
        <v>10</v>
      </c>
      <c r="BO51">
        <v>0</v>
      </c>
      <c r="BP51">
        <v>2</v>
      </c>
      <c r="BQ51">
        <v>5</v>
      </c>
      <c r="BR51">
        <v>2</v>
      </c>
      <c r="BS51">
        <v>2</v>
      </c>
      <c r="BT51">
        <v>3</v>
      </c>
      <c r="BU51">
        <v>2</v>
      </c>
      <c r="BV51">
        <v>1</v>
      </c>
      <c r="BW51">
        <v>3</v>
      </c>
      <c r="BX51">
        <v>2</v>
      </c>
      <c r="BY51">
        <v>1</v>
      </c>
      <c r="BZ51">
        <v>2</v>
      </c>
      <c r="CA51">
        <v>2</v>
      </c>
      <c r="CB51">
        <v>1</v>
      </c>
      <c r="CC51">
        <v>9</v>
      </c>
      <c r="CD51">
        <v>3</v>
      </c>
      <c r="CE51">
        <v>1</v>
      </c>
      <c r="CF51">
        <v>1</v>
      </c>
      <c r="CG51">
        <v>17</v>
      </c>
      <c r="CH51">
        <v>20</v>
      </c>
      <c r="CI51">
        <v>25</v>
      </c>
      <c r="CJ51">
        <v>19</v>
      </c>
      <c r="CK51">
        <v>23</v>
      </c>
      <c r="CL51">
        <v>16</v>
      </c>
      <c r="CM51">
        <v>17</v>
      </c>
      <c r="CN51">
        <v>34</v>
      </c>
      <c r="CO51">
        <v>12</v>
      </c>
      <c r="CP51" s="26">
        <v>13</v>
      </c>
      <c r="CQ51" s="20">
        <v>7</v>
      </c>
      <c r="CR51" s="24">
        <v>26.095238095238098</v>
      </c>
      <c r="CS51" s="24">
        <v>26.321428571428573</v>
      </c>
      <c r="CT51" s="24">
        <v>9.3928571428571423</v>
      </c>
      <c r="CU51" s="24">
        <v>437.85714285714283</v>
      </c>
      <c r="CV51" s="24">
        <v>418.57142857142856</v>
      </c>
      <c r="CW51" s="24">
        <v>13.571428571428571</v>
      </c>
      <c r="CX51" s="24">
        <v>95.191056259724704</v>
      </c>
      <c r="CY51" s="25">
        <v>5.7142857142857144</v>
      </c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5"/>
      <c r="DM51" s="20">
        <v>13</v>
      </c>
      <c r="DN51" s="24">
        <v>23.03846153846154</v>
      </c>
      <c r="DO51" s="24">
        <v>24.352564102564102</v>
      </c>
      <c r="DP51" s="24">
        <v>7.8589743589743586</v>
      </c>
      <c r="DQ51" s="24">
        <v>529.23076923076928</v>
      </c>
      <c r="DR51" s="24">
        <v>446.53846153846155</v>
      </c>
      <c r="DS51" s="24">
        <v>78.84615384615384</v>
      </c>
      <c r="DT51" s="24">
        <v>84.518025918665955</v>
      </c>
      <c r="DU51" s="25">
        <v>3.8461538461538463</v>
      </c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5"/>
      <c r="EI51" s="20">
        <v>12</v>
      </c>
      <c r="EJ51" s="24">
        <v>23.166666666666668</v>
      </c>
      <c r="EK51" s="24">
        <v>24.527777777777775</v>
      </c>
      <c r="EL51" s="24">
        <v>7.8888888888888884</v>
      </c>
      <c r="EM51" s="24">
        <v>523.33333333333337</v>
      </c>
      <c r="EN51" s="24">
        <v>437.91666666666669</v>
      </c>
      <c r="EO51" s="24">
        <v>81.666666666666671</v>
      </c>
      <c r="EP51" s="24">
        <v>83.922305856332557</v>
      </c>
      <c r="EQ51" s="25">
        <v>3.75</v>
      </c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</row>
    <row r="52" spans="1:160" x14ac:dyDescent="0.25">
      <c r="A52">
        <v>4121</v>
      </c>
      <c r="B52">
        <v>1</v>
      </c>
      <c r="C52">
        <v>20</v>
      </c>
      <c r="D52" s="1">
        <v>1.81</v>
      </c>
      <c r="E52">
        <v>79</v>
      </c>
      <c r="F52">
        <v>24.11</v>
      </c>
      <c r="G52">
        <v>1</v>
      </c>
      <c r="H52">
        <v>15</v>
      </c>
      <c r="I52">
        <v>25</v>
      </c>
      <c r="J52">
        <v>2</v>
      </c>
      <c r="K52">
        <v>3</v>
      </c>
      <c r="L52">
        <v>3</v>
      </c>
      <c r="M52" s="1">
        <v>24.1</v>
      </c>
      <c r="O52" s="1">
        <v>24</v>
      </c>
      <c r="P52" s="1">
        <v>-0.1</v>
      </c>
      <c r="Q52" s="1">
        <v>25.860000000000003</v>
      </c>
      <c r="R52" s="1">
        <v>1.76</v>
      </c>
      <c r="S52" s="1">
        <v>23</v>
      </c>
      <c r="T52">
        <v>0</v>
      </c>
      <c r="U52">
        <v>2</v>
      </c>
      <c r="V52">
        <v>0</v>
      </c>
      <c r="W52">
        <v>2</v>
      </c>
      <c r="X52">
        <v>1</v>
      </c>
      <c r="Y52">
        <v>13</v>
      </c>
      <c r="Z52">
        <v>15</v>
      </c>
      <c r="AA52">
        <v>2</v>
      </c>
      <c r="AB52">
        <v>1</v>
      </c>
      <c r="AC52">
        <v>20</v>
      </c>
      <c r="AD52">
        <v>3</v>
      </c>
      <c r="AE52">
        <v>2</v>
      </c>
      <c r="AF52">
        <v>3</v>
      </c>
      <c r="AG52">
        <v>0</v>
      </c>
      <c r="AH52">
        <v>1</v>
      </c>
      <c r="AI52">
        <v>1</v>
      </c>
      <c r="AJ52">
        <v>0</v>
      </c>
      <c r="AK52">
        <v>2</v>
      </c>
      <c r="AL52">
        <v>9</v>
      </c>
      <c r="AM52">
        <v>2</v>
      </c>
      <c r="AN52">
        <v>8</v>
      </c>
      <c r="AO52">
        <v>6</v>
      </c>
      <c r="AP52">
        <v>6</v>
      </c>
      <c r="AQ52">
        <v>20</v>
      </c>
      <c r="AR52">
        <v>1</v>
      </c>
      <c r="AS52">
        <v>1</v>
      </c>
      <c r="AT52">
        <v>5</v>
      </c>
      <c r="AU52">
        <v>1</v>
      </c>
      <c r="AV52">
        <v>11</v>
      </c>
      <c r="AW52">
        <v>11</v>
      </c>
      <c r="AX52">
        <v>1</v>
      </c>
      <c r="AY52">
        <v>1</v>
      </c>
      <c r="AZ52">
        <v>14</v>
      </c>
      <c r="BA52">
        <v>2</v>
      </c>
      <c r="BB52">
        <v>2</v>
      </c>
      <c r="BC52">
        <v>2</v>
      </c>
      <c r="BD52">
        <v>1</v>
      </c>
      <c r="BE52">
        <v>1</v>
      </c>
      <c r="BF52">
        <v>1</v>
      </c>
      <c r="BG52">
        <v>0</v>
      </c>
      <c r="BH52">
        <v>1</v>
      </c>
      <c r="BI52">
        <v>8</v>
      </c>
      <c r="BJ52">
        <v>2</v>
      </c>
      <c r="BK52">
        <v>8</v>
      </c>
      <c r="BL52">
        <v>4</v>
      </c>
      <c r="BM52">
        <v>4</v>
      </c>
      <c r="BN52">
        <v>16</v>
      </c>
      <c r="BO52">
        <v>0</v>
      </c>
      <c r="BP52">
        <v>9</v>
      </c>
      <c r="BQ52">
        <v>6</v>
      </c>
      <c r="BR52">
        <v>2</v>
      </c>
      <c r="BS52">
        <v>2</v>
      </c>
      <c r="BT52">
        <v>3</v>
      </c>
      <c r="BU52">
        <v>2</v>
      </c>
      <c r="BV52">
        <v>1</v>
      </c>
      <c r="BW52">
        <v>3</v>
      </c>
      <c r="BX52">
        <v>2</v>
      </c>
      <c r="BY52">
        <v>1</v>
      </c>
      <c r="BZ52">
        <v>2</v>
      </c>
      <c r="CA52">
        <v>2</v>
      </c>
      <c r="CB52">
        <v>1</v>
      </c>
      <c r="CC52">
        <v>9</v>
      </c>
      <c r="CD52">
        <v>5</v>
      </c>
      <c r="CE52">
        <v>2</v>
      </c>
      <c r="CF52">
        <v>1</v>
      </c>
      <c r="CG52">
        <v>30</v>
      </c>
      <c r="CH52">
        <v>25</v>
      </c>
      <c r="CI52">
        <v>25</v>
      </c>
      <c r="CJ52">
        <v>24</v>
      </c>
      <c r="CK52">
        <v>24</v>
      </c>
      <c r="CL52">
        <v>33</v>
      </c>
      <c r="CM52">
        <v>33</v>
      </c>
      <c r="CN52">
        <v>30</v>
      </c>
      <c r="CO52">
        <v>27</v>
      </c>
      <c r="CP52" s="26">
        <v>23</v>
      </c>
      <c r="CQ52" s="20">
        <v>7</v>
      </c>
      <c r="CR52" s="24">
        <v>25</v>
      </c>
      <c r="CS52" s="24">
        <v>25.690476190476186</v>
      </c>
      <c r="CT52" s="24">
        <v>10.380952380952381</v>
      </c>
      <c r="CU52" s="24">
        <v>562.85714285714289</v>
      </c>
      <c r="CV52" s="24">
        <v>462.85714285714283</v>
      </c>
      <c r="CW52" s="24">
        <v>41.428571428571431</v>
      </c>
      <c r="CX52" s="24">
        <v>82.673618934498663</v>
      </c>
      <c r="CY52" s="25">
        <v>58.571428571428569</v>
      </c>
      <c r="CZ52" s="20">
        <v>7</v>
      </c>
      <c r="DA52" s="24">
        <v>25.857142857142858</v>
      </c>
      <c r="DB52" s="24">
        <v>26.142857142857142</v>
      </c>
      <c r="DC52" s="24">
        <v>10.3</v>
      </c>
      <c r="DD52" s="24">
        <v>10.380952380952381</v>
      </c>
      <c r="DE52" s="24">
        <v>511.42857142857144</v>
      </c>
      <c r="DF52" s="24">
        <v>424.71428571428572</v>
      </c>
      <c r="DG52" s="24">
        <v>17.142857142857142</v>
      </c>
      <c r="DH52" s="24">
        <v>83.214285714285708</v>
      </c>
      <c r="DI52" s="24">
        <v>64.714285714285708</v>
      </c>
      <c r="DJ52" s="24">
        <v>83.599941724941715</v>
      </c>
      <c r="DK52" s="24">
        <v>87.270908915645762</v>
      </c>
      <c r="DL52" s="25">
        <v>82.979954575794991</v>
      </c>
      <c r="DM52" s="20">
        <v>18</v>
      </c>
      <c r="DN52" s="24">
        <v>24.039814814814818</v>
      </c>
      <c r="DO52" s="24">
        <v>24.799074074074074</v>
      </c>
      <c r="DP52" s="24">
        <v>9.6388888888888893</v>
      </c>
      <c r="DQ52" s="24">
        <v>575.94444444444446</v>
      </c>
      <c r="DR52" s="24">
        <v>491.29411764705884</v>
      </c>
      <c r="DS52" s="24">
        <v>45.555555555555557</v>
      </c>
      <c r="DT52" s="24">
        <v>84.572074129568904</v>
      </c>
      <c r="DU52" s="25">
        <v>41.470588235294116</v>
      </c>
      <c r="DV52" s="20">
        <v>18</v>
      </c>
      <c r="DW52" s="24">
        <v>25.358974358974361</v>
      </c>
      <c r="DX52" s="24">
        <v>26.535897435897439</v>
      </c>
      <c r="DY52" s="24">
        <v>10.779487179487178</v>
      </c>
      <c r="DZ52" s="24">
        <v>11.153846153846153</v>
      </c>
      <c r="EA52" s="24">
        <v>587.69230769230774</v>
      </c>
      <c r="EB52" s="24">
        <v>437.38461538461536</v>
      </c>
      <c r="EC52" s="24">
        <v>437.38461538461536</v>
      </c>
      <c r="ED52" s="24">
        <v>74.55692307692307</v>
      </c>
      <c r="EE52" s="24">
        <v>56.230769230769234</v>
      </c>
      <c r="EF52" s="24">
        <v>72.630360680586207</v>
      </c>
      <c r="EG52" s="24">
        <v>87.414595735076588</v>
      </c>
      <c r="EH52" s="25">
        <v>83.330588188827363</v>
      </c>
      <c r="EI52" s="20">
        <v>17</v>
      </c>
      <c r="EJ52" s="24">
        <v>24.100980392156863</v>
      </c>
      <c r="EK52" s="24">
        <v>24.875490196078434</v>
      </c>
      <c r="EL52" s="24">
        <v>9.7941176470588243</v>
      </c>
      <c r="EM52" s="24">
        <v>581.58823529411768</v>
      </c>
      <c r="EN52" s="24">
        <v>495.75</v>
      </c>
      <c r="EO52" s="24">
        <v>46.470588235294116</v>
      </c>
      <c r="EP52" s="24">
        <v>84.389078762666969</v>
      </c>
      <c r="EQ52" s="25">
        <v>42.1875</v>
      </c>
      <c r="ER52" s="20">
        <v>9</v>
      </c>
      <c r="ES52" s="24">
        <v>24.796296296296298</v>
      </c>
      <c r="ET52" s="24">
        <v>26.196296296296296</v>
      </c>
      <c r="EU52" s="24">
        <v>10.190740740740742</v>
      </c>
      <c r="EV52" s="24">
        <v>10.611111111111111</v>
      </c>
      <c r="EW52" s="24">
        <v>588.88888888888891</v>
      </c>
      <c r="EX52" s="24">
        <v>422.22222222222223</v>
      </c>
      <c r="EY52" s="24">
        <v>84</v>
      </c>
      <c r="EZ52" s="24">
        <v>71.865555555555545</v>
      </c>
      <c r="FA52" s="24">
        <v>56</v>
      </c>
      <c r="FB52" s="24">
        <v>70.73211222830966</v>
      </c>
      <c r="FC52" s="24">
        <v>85.908218539288114</v>
      </c>
      <c r="FD52" s="24">
        <v>81.938518787603556</v>
      </c>
    </row>
    <row r="53" spans="1:160" x14ac:dyDescent="0.25">
      <c r="A53">
        <v>4129</v>
      </c>
      <c r="B53">
        <v>1</v>
      </c>
      <c r="C53">
        <v>20</v>
      </c>
      <c r="D53" s="1">
        <v>1.5</v>
      </c>
      <c r="E53">
        <v>75</v>
      </c>
      <c r="F53">
        <v>33.33</v>
      </c>
      <c r="G53">
        <v>1</v>
      </c>
      <c r="H53">
        <v>13</v>
      </c>
      <c r="I53">
        <v>20</v>
      </c>
      <c r="J53">
        <v>1</v>
      </c>
      <c r="K53">
        <v>2</v>
      </c>
      <c r="L53">
        <v>3</v>
      </c>
      <c r="M53" s="1">
        <v>24.83</v>
      </c>
      <c r="N53">
        <v>24.98</v>
      </c>
      <c r="O53" s="1">
        <v>24</v>
      </c>
      <c r="P53" s="1">
        <v>-0.83</v>
      </c>
      <c r="Q53" s="1">
        <v>26.169999999999998</v>
      </c>
      <c r="R53" s="1">
        <v>1.34</v>
      </c>
      <c r="S53" s="1">
        <v>23</v>
      </c>
      <c r="T53">
        <v>0</v>
      </c>
      <c r="U53">
        <v>2</v>
      </c>
      <c r="V53">
        <v>0</v>
      </c>
      <c r="W53">
        <v>2</v>
      </c>
      <c r="X53">
        <v>1</v>
      </c>
      <c r="Y53">
        <v>6</v>
      </c>
      <c r="Z53">
        <v>6</v>
      </c>
      <c r="AA53">
        <v>1</v>
      </c>
      <c r="AB53">
        <v>1</v>
      </c>
      <c r="AC53">
        <v>11</v>
      </c>
      <c r="AD53">
        <v>2</v>
      </c>
      <c r="AE53">
        <v>1</v>
      </c>
      <c r="AF53">
        <v>2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5</v>
      </c>
      <c r="AM53">
        <v>1</v>
      </c>
      <c r="AN53">
        <v>6</v>
      </c>
      <c r="AO53">
        <v>1</v>
      </c>
      <c r="AP53">
        <v>3</v>
      </c>
      <c r="AQ53">
        <v>10</v>
      </c>
      <c r="AR53">
        <v>6</v>
      </c>
      <c r="AS53">
        <v>20</v>
      </c>
      <c r="AT53">
        <v>3</v>
      </c>
      <c r="AU53">
        <v>1</v>
      </c>
      <c r="AV53">
        <v>4</v>
      </c>
      <c r="AW53">
        <v>2</v>
      </c>
      <c r="AX53">
        <v>1</v>
      </c>
      <c r="AY53">
        <v>1</v>
      </c>
      <c r="AZ53">
        <v>14</v>
      </c>
      <c r="BA53">
        <v>2</v>
      </c>
      <c r="BB53">
        <v>1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4</v>
      </c>
      <c r="BJ53">
        <v>1</v>
      </c>
      <c r="BK53">
        <v>5</v>
      </c>
      <c r="BL53">
        <v>2</v>
      </c>
      <c r="BM53">
        <v>3</v>
      </c>
      <c r="BN53">
        <v>10</v>
      </c>
      <c r="BO53">
        <v>8</v>
      </c>
      <c r="BP53">
        <v>0</v>
      </c>
      <c r="BQ53">
        <v>4</v>
      </c>
      <c r="BR53">
        <v>2</v>
      </c>
      <c r="BS53">
        <v>2</v>
      </c>
      <c r="BT53">
        <v>4</v>
      </c>
      <c r="BU53">
        <v>2</v>
      </c>
      <c r="BV53">
        <v>2</v>
      </c>
      <c r="BW53">
        <v>3</v>
      </c>
      <c r="BX53">
        <v>2</v>
      </c>
      <c r="BY53">
        <v>1</v>
      </c>
      <c r="BZ53">
        <v>2</v>
      </c>
      <c r="CA53">
        <v>2</v>
      </c>
      <c r="CB53">
        <v>1</v>
      </c>
      <c r="CC53">
        <v>9</v>
      </c>
      <c r="CD53">
        <v>3</v>
      </c>
      <c r="CE53">
        <v>1</v>
      </c>
      <c r="CF53">
        <v>1</v>
      </c>
      <c r="CG53">
        <v>17</v>
      </c>
      <c r="CH53">
        <v>22</v>
      </c>
      <c r="CI53">
        <v>21</v>
      </c>
      <c r="CJ53">
        <v>17</v>
      </c>
      <c r="CK53">
        <v>17</v>
      </c>
      <c r="CL53">
        <v>28</v>
      </c>
      <c r="CM53">
        <v>24</v>
      </c>
      <c r="CN53">
        <v>20</v>
      </c>
      <c r="CO53">
        <v>20</v>
      </c>
      <c r="CP53" s="26">
        <v>19</v>
      </c>
      <c r="CQ53" s="20">
        <v>6</v>
      </c>
      <c r="CR53" s="24">
        <v>25.666666666666668</v>
      </c>
      <c r="CS53" s="24">
        <v>25.944444444444443</v>
      </c>
      <c r="CT53" s="24">
        <v>9.3055555555555554</v>
      </c>
      <c r="CU53" s="24">
        <v>458.33333333333331</v>
      </c>
      <c r="CV53" s="24">
        <v>441.66666666666669</v>
      </c>
      <c r="CW53" s="24">
        <v>16.666666666666668</v>
      </c>
      <c r="CX53" s="24">
        <v>96.31895813881107</v>
      </c>
      <c r="CY53" s="25">
        <v>0</v>
      </c>
      <c r="CZ53" s="20">
        <v>6</v>
      </c>
      <c r="DA53" s="24">
        <v>26.166666666666668</v>
      </c>
      <c r="DB53" s="24">
        <v>26.447222222222226</v>
      </c>
      <c r="DC53" s="24">
        <v>8.7999999999999989</v>
      </c>
      <c r="DD53" s="24">
        <v>8.9722222222222214</v>
      </c>
      <c r="DE53" s="24">
        <v>408.33333333333331</v>
      </c>
      <c r="DF53" s="24">
        <v>356.83333333333331</v>
      </c>
      <c r="DG53" s="24">
        <v>16.833333333333332</v>
      </c>
      <c r="DH53" s="24">
        <v>87.446666666666673</v>
      </c>
      <c r="DI53" s="24">
        <v>24.333333333333332</v>
      </c>
      <c r="DJ53" s="24">
        <v>87.051221577164981</v>
      </c>
      <c r="DK53" s="24">
        <v>95.274723834865355</v>
      </c>
      <c r="DL53" s="25">
        <v>88.773534227973485</v>
      </c>
      <c r="DM53" s="20">
        <v>20</v>
      </c>
      <c r="DN53" s="24">
        <v>24.737500000000001</v>
      </c>
      <c r="DO53" s="24">
        <v>25.18333333333333</v>
      </c>
      <c r="DP53" s="24">
        <v>9.9499999999999993</v>
      </c>
      <c r="DQ53" s="24">
        <v>552.75</v>
      </c>
      <c r="DR53" s="24">
        <v>523.75</v>
      </c>
      <c r="DS53" s="24">
        <v>26.75</v>
      </c>
      <c r="DT53" s="24">
        <v>94.527935443183111</v>
      </c>
      <c r="DU53" s="25">
        <v>2.25</v>
      </c>
      <c r="DV53" s="20">
        <v>20</v>
      </c>
      <c r="DW53" s="24">
        <v>25.328947368421051</v>
      </c>
      <c r="DX53" s="24">
        <v>25.997368421052634</v>
      </c>
      <c r="DY53" s="24">
        <v>9.9377192982456108</v>
      </c>
      <c r="DZ53" s="24">
        <v>10.078947368421053</v>
      </c>
      <c r="EA53" s="24">
        <v>525</v>
      </c>
      <c r="EB53" s="24">
        <v>445.4736842105263</v>
      </c>
      <c r="EC53" s="24">
        <v>445.4736842105263</v>
      </c>
      <c r="ED53" s="24">
        <v>85.249473684210514</v>
      </c>
      <c r="EE53" s="24">
        <v>30.94736842105263</v>
      </c>
      <c r="EF53" s="24">
        <v>81.604365147119722</v>
      </c>
      <c r="EG53" s="24">
        <v>94.765884843503216</v>
      </c>
      <c r="EH53" s="25">
        <v>91.630819870741107</v>
      </c>
      <c r="EI53" s="20">
        <v>18</v>
      </c>
      <c r="EJ53" s="24">
        <v>24.652777777777779</v>
      </c>
      <c r="EK53" s="24">
        <v>25.101851851851848</v>
      </c>
      <c r="EL53" s="24">
        <v>9.8888888888888893</v>
      </c>
      <c r="EM53" s="24">
        <v>554.16666666666663</v>
      </c>
      <c r="EN53" s="24">
        <v>524.72222222222217</v>
      </c>
      <c r="EO53" s="24">
        <v>26.944444444444443</v>
      </c>
      <c r="EP53" s="24">
        <v>94.441657429703525</v>
      </c>
      <c r="EQ53" s="25">
        <v>2.5</v>
      </c>
      <c r="ER53" s="20">
        <v>12</v>
      </c>
      <c r="ES53" s="24">
        <v>24.604166666666668</v>
      </c>
      <c r="ET53" s="24">
        <v>25.466666666666665</v>
      </c>
      <c r="EU53" s="24">
        <v>9.7638888888888893</v>
      </c>
      <c r="EV53" s="24">
        <v>9.9166666666666661</v>
      </c>
      <c r="EW53" s="24">
        <v>558.75</v>
      </c>
      <c r="EX53" s="24">
        <v>465.66666666666669</v>
      </c>
      <c r="EY53" s="24">
        <v>51.75</v>
      </c>
      <c r="EZ53" s="24">
        <v>83.597500000000011</v>
      </c>
      <c r="FA53" s="24">
        <v>32.166666666666664</v>
      </c>
      <c r="FB53" s="24">
        <v>77.009023994610899</v>
      </c>
      <c r="FC53" s="24">
        <v>95.680321403707353</v>
      </c>
      <c r="FD53" s="24">
        <v>92.246493039971313</v>
      </c>
    </row>
    <row r="54" spans="1:160" x14ac:dyDescent="0.25">
      <c r="A54">
        <v>4130</v>
      </c>
      <c r="B54">
        <v>1</v>
      </c>
      <c r="C54">
        <v>30</v>
      </c>
      <c r="D54" s="1">
        <v>1.83</v>
      </c>
      <c r="E54">
        <v>90</v>
      </c>
      <c r="F54">
        <v>26.87</v>
      </c>
      <c r="G54">
        <v>2</v>
      </c>
      <c r="H54">
        <v>13</v>
      </c>
      <c r="I54">
        <v>22</v>
      </c>
      <c r="J54">
        <v>1</v>
      </c>
      <c r="K54">
        <v>2</v>
      </c>
      <c r="L54">
        <v>3</v>
      </c>
      <c r="M54" s="1">
        <v>21.08</v>
      </c>
      <c r="O54" s="1">
        <v>21</v>
      </c>
      <c r="P54" s="1">
        <v>-0.08</v>
      </c>
      <c r="Q54" s="1">
        <v>25.06</v>
      </c>
      <c r="R54" s="1">
        <v>3.98</v>
      </c>
      <c r="S54" s="1">
        <v>20</v>
      </c>
      <c r="T54">
        <v>0</v>
      </c>
      <c r="U54">
        <v>2</v>
      </c>
      <c r="V54">
        <v>0</v>
      </c>
      <c r="W54">
        <v>4</v>
      </c>
      <c r="X54">
        <v>1</v>
      </c>
      <c r="AL54">
        <v>0</v>
      </c>
      <c r="AM54">
        <v>1</v>
      </c>
      <c r="AQ54">
        <v>0</v>
      </c>
      <c r="AT54">
        <v>3</v>
      </c>
      <c r="AU54">
        <v>1</v>
      </c>
      <c r="AV54">
        <v>2</v>
      </c>
      <c r="AW54">
        <v>0</v>
      </c>
      <c r="AX54">
        <v>1</v>
      </c>
      <c r="AY54">
        <v>1</v>
      </c>
      <c r="AZ54">
        <v>6</v>
      </c>
      <c r="BA54">
        <v>1</v>
      </c>
      <c r="BB54">
        <v>1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3</v>
      </c>
      <c r="BJ54">
        <v>1</v>
      </c>
      <c r="BK54">
        <v>2</v>
      </c>
      <c r="BL54">
        <v>1</v>
      </c>
      <c r="BM54">
        <v>2</v>
      </c>
      <c r="BN54">
        <v>5</v>
      </c>
      <c r="BO54">
        <v>0</v>
      </c>
      <c r="BP54">
        <v>0</v>
      </c>
      <c r="BQ54">
        <v>4</v>
      </c>
      <c r="BR54">
        <v>2</v>
      </c>
      <c r="BS54">
        <v>2</v>
      </c>
      <c r="BT54">
        <v>4</v>
      </c>
      <c r="BU54">
        <v>2</v>
      </c>
      <c r="BV54">
        <v>2</v>
      </c>
      <c r="BW54">
        <v>2</v>
      </c>
      <c r="BX54">
        <v>1</v>
      </c>
      <c r="BY54">
        <v>1</v>
      </c>
      <c r="BZ54">
        <v>1</v>
      </c>
      <c r="CA54">
        <v>4</v>
      </c>
      <c r="CB54">
        <v>1</v>
      </c>
      <c r="CC54">
        <v>1</v>
      </c>
      <c r="CD54">
        <v>6</v>
      </c>
      <c r="CE54">
        <v>2</v>
      </c>
      <c r="CF54">
        <v>2</v>
      </c>
      <c r="CG54">
        <v>27</v>
      </c>
      <c r="CH54">
        <v>21</v>
      </c>
      <c r="CI54">
        <v>17</v>
      </c>
      <c r="CJ54">
        <v>20</v>
      </c>
      <c r="CK54">
        <v>21</v>
      </c>
      <c r="CL54">
        <v>10</v>
      </c>
      <c r="CM54">
        <v>12</v>
      </c>
      <c r="CN54">
        <v>14</v>
      </c>
      <c r="CO54">
        <v>16</v>
      </c>
      <c r="CP54" s="26">
        <v>16</v>
      </c>
      <c r="CQ54" s="20">
        <v>6</v>
      </c>
      <c r="CR54" s="24">
        <v>24.388888888888886</v>
      </c>
      <c r="CS54" s="24">
        <v>24.930555555555557</v>
      </c>
      <c r="CT54" s="24">
        <v>9.625</v>
      </c>
      <c r="CU54" s="24">
        <v>554.16666666666663</v>
      </c>
      <c r="CV54" s="24">
        <v>514.16666666666663</v>
      </c>
      <c r="CW54" s="24">
        <v>32.5</v>
      </c>
      <c r="CX54" s="24">
        <v>92.824226181700737</v>
      </c>
      <c r="CY54" s="25">
        <v>7.5</v>
      </c>
      <c r="CZ54" s="20">
        <v>6</v>
      </c>
      <c r="DA54" s="24">
        <v>25.055555555555554</v>
      </c>
      <c r="DB54" s="24">
        <v>25.419444444444441</v>
      </c>
      <c r="DC54" s="24">
        <v>8.3972222222222221</v>
      </c>
      <c r="DD54" s="24">
        <v>9.0833333333333339</v>
      </c>
      <c r="DE54" s="24">
        <v>481.66666666666669</v>
      </c>
      <c r="DF54" s="24">
        <v>357.16666666666669</v>
      </c>
      <c r="DG54" s="24">
        <v>21.833333333333332</v>
      </c>
      <c r="DH54" s="24">
        <v>74.708333333333329</v>
      </c>
      <c r="DI54" s="24">
        <v>61.5</v>
      </c>
      <c r="DJ54" s="24">
        <v>85.937648564251162</v>
      </c>
      <c r="DK54" s="24">
        <v>78.809702468280989</v>
      </c>
      <c r="DL54" s="25">
        <v>77.984305538711638</v>
      </c>
      <c r="DN54" s="24"/>
      <c r="DO54" s="24"/>
      <c r="DP54" s="24"/>
      <c r="DQ54" s="24"/>
      <c r="DR54" s="24"/>
      <c r="DS54" s="24"/>
      <c r="DT54" s="24"/>
      <c r="DU54" s="25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5"/>
      <c r="EJ54" s="24"/>
      <c r="EK54" s="24"/>
      <c r="EL54" s="24"/>
      <c r="EM54" s="24"/>
      <c r="EN54" s="24"/>
      <c r="EO54" s="24"/>
      <c r="EP54" s="24"/>
      <c r="EQ54" s="25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</row>
    <row r="55" spans="1:160" x14ac:dyDescent="0.25">
      <c r="A55">
        <v>4134</v>
      </c>
      <c r="B55">
        <v>2</v>
      </c>
      <c r="C55">
        <v>40</v>
      </c>
      <c r="D55" s="1">
        <v>1.73</v>
      </c>
      <c r="E55">
        <v>60</v>
      </c>
      <c r="F55">
        <v>20.05</v>
      </c>
      <c r="G55">
        <v>1</v>
      </c>
      <c r="H55">
        <v>12</v>
      </c>
      <c r="I55">
        <v>32</v>
      </c>
      <c r="J55">
        <v>2</v>
      </c>
      <c r="K55">
        <v>2</v>
      </c>
      <c r="L55">
        <v>3</v>
      </c>
      <c r="M55" s="1">
        <v>21.35</v>
      </c>
      <c r="N55">
        <v>21.9</v>
      </c>
      <c r="O55" s="1">
        <v>21</v>
      </c>
      <c r="P55" s="1">
        <v>-0.35</v>
      </c>
      <c r="Q55" s="1">
        <v>23.3</v>
      </c>
      <c r="R55" s="1">
        <v>1.95</v>
      </c>
      <c r="S55" s="1">
        <v>20</v>
      </c>
      <c r="T55">
        <v>0</v>
      </c>
      <c r="U55">
        <v>1</v>
      </c>
      <c r="V55">
        <v>0</v>
      </c>
      <c r="W55">
        <v>6</v>
      </c>
      <c r="X55">
        <v>1</v>
      </c>
      <c r="Y55">
        <v>2</v>
      </c>
      <c r="Z55">
        <v>0</v>
      </c>
      <c r="AA55">
        <v>1</v>
      </c>
      <c r="AB55">
        <v>1</v>
      </c>
      <c r="AC55">
        <v>13</v>
      </c>
      <c r="AD55">
        <v>2</v>
      </c>
      <c r="AE55">
        <v>2</v>
      </c>
      <c r="AF55">
        <v>2</v>
      </c>
      <c r="AG55">
        <v>1</v>
      </c>
      <c r="AH55">
        <v>0</v>
      </c>
      <c r="AI55">
        <v>1</v>
      </c>
      <c r="AJ55">
        <v>0</v>
      </c>
      <c r="AK55">
        <v>1</v>
      </c>
      <c r="AL55">
        <v>7</v>
      </c>
      <c r="AM55">
        <v>2</v>
      </c>
      <c r="AN55">
        <v>3</v>
      </c>
      <c r="AO55">
        <v>3</v>
      </c>
      <c r="AP55">
        <v>4</v>
      </c>
      <c r="AQ55">
        <v>10</v>
      </c>
      <c r="AR55">
        <v>0</v>
      </c>
      <c r="AS55">
        <v>1</v>
      </c>
      <c r="AT55">
        <v>7</v>
      </c>
      <c r="AU55">
        <v>1</v>
      </c>
      <c r="AV55">
        <v>2</v>
      </c>
      <c r="AW55">
        <v>4</v>
      </c>
      <c r="AX55">
        <v>1</v>
      </c>
      <c r="AY55">
        <v>1</v>
      </c>
      <c r="AZ55">
        <v>9</v>
      </c>
      <c r="BA55">
        <v>2</v>
      </c>
      <c r="BB55">
        <v>1</v>
      </c>
      <c r="BC55">
        <v>3</v>
      </c>
      <c r="BD55">
        <v>1</v>
      </c>
      <c r="BE55">
        <v>2</v>
      </c>
      <c r="BF55">
        <v>1</v>
      </c>
      <c r="BG55">
        <v>0</v>
      </c>
      <c r="BH55">
        <v>0</v>
      </c>
      <c r="BI55">
        <v>8</v>
      </c>
      <c r="BJ55">
        <v>2</v>
      </c>
      <c r="BK55">
        <v>3</v>
      </c>
      <c r="BL55">
        <v>2</v>
      </c>
      <c r="BM55">
        <v>4</v>
      </c>
      <c r="BN55">
        <v>9</v>
      </c>
      <c r="BO55">
        <v>0</v>
      </c>
      <c r="BP55">
        <v>12</v>
      </c>
      <c r="BQ55">
        <v>4</v>
      </c>
      <c r="BR55">
        <v>2</v>
      </c>
      <c r="BS55">
        <v>2</v>
      </c>
      <c r="BT55">
        <v>4</v>
      </c>
      <c r="BU55">
        <v>2</v>
      </c>
      <c r="BV55">
        <v>2</v>
      </c>
      <c r="BW55">
        <v>3</v>
      </c>
      <c r="BX55">
        <v>2</v>
      </c>
      <c r="BY55">
        <v>1</v>
      </c>
      <c r="BZ55">
        <v>2</v>
      </c>
      <c r="CA55">
        <v>2</v>
      </c>
      <c r="CB55">
        <v>1</v>
      </c>
      <c r="CC55">
        <v>9</v>
      </c>
      <c r="CD55">
        <v>3</v>
      </c>
      <c r="CE55">
        <v>1</v>
      </c>
      <c r="CF55">
        <v>1</v>
      </c>
      <c r="CG55">
        <v>20</v>
      </c>
      <c r="CH55">
        <v>22</v>
      </c>
      <c r="CI55">
        <v>26</v>
      </c>
      <c r="CJ55">
        <v>23</v>
      </c>
      <c r="CK55">
        <v>26</v>
      </c>
      <c r="CL55">
        <v>15</v>
      </c>
      <c r="CM55">
        <v>13</v>
      </c>
      <c r="CN55">
        <v>15</v>
      </c>
      <c r="CO55">
        <v>14</v>
      </c>
      <c r="CP55" s="26">
        <v>16</v>
      </c>
      <c r="CQ55" s="20">
        <v>7</v>
      </c>
      <c r="CR55" s="24">
        <v>23.083333333333336</v>
      </c>
      <c r="CS55" s="24">
        <v>24.011904761904759</v>
      </c>
      <c r="CT55" s="24">
        <v>7.4523809523809517</v>
      </c>
      <c r="CU55" s="24">
        <v>502.14285714285717</v>
      </c>
      <c r="CV55" s="24">
        <v>439.28571428571428</v>
      </c>
      <c r="CW55" s="24">
        <v>55.714285714285715</v>
      </c>
      <c r="CX55" s="24">
        <v>87.284037911755235</v>
      </c>
      <c r="CY55" s="25">
        <v>7.1428571428571432</v>
      </c>
      <c r="CZ55" s="20">
        <v>7</v>
      </c>
      <c r="DA55" s="24">
        <v>23.297619047619047</v>
      </c>
      <c r="DB55" s="24">
        <v>23.378571428571426</v>
      </c>
      <c r="DC55" s="24">
        <v>7.3809523809523814</v>
      </c>
      <c r="DD55" s="24">
        <v>7.4523809523809517</v>
      </c>
      <c r="DE55" s="24">
        <v>489.28571428571428</v>
      </c>
      <c r="DF55" s="24">
        <v>429.28571428571428</v>
      </c>
      <c r="DG55" s="24">
        <v>4.8571428571428568</v>
      </c>
      <c r="DH55" s="24">
        <v>87.75</v>
      </c>
      <c r="DI55" s="24">
        <v>50.857142857142854</v>
      </c>
      <c r="DJ55" s="24">
        <v>85.450056976386449</v>
      </c>
      <c r="DK55" s="24">
        <v>92.828441290468191</v>
      </c>
      <c r="DL55" s="25">
        <v>87.68207757382811</v>
      </c>
      <c r="DM55" s="20">
        <v>17</v>
      </c>
      <c r="DN55" s="24">
        <v>21.813725490196077</v>
      </c>
      <c r="DO55" s="24">
        <v>23.1078431372549</v>
      </c>
      <c r="DP55" s="24">
        <v>6.8676470588235299</v>
      </c>
      <c r="DQ55" s="24">
        <v>543.23529411764707</v>
      </c>
      <c r="DR55" s="24">
        <v>450.88235294117646</v>
      </c>
      <c r="DS55" s="24">
        <v>77.647058823529406</v>
      </c>
      <c r="DT55" s="24">
        <v>82.941596910100657</v>
      </c>
      <c r="DU55" s="25">
        <v>14.705882352941176</v>
      </c>
      <c r="DV55" s="20">
        <v>17</v>
      </c>
      <c r="DW55" s="24">
        <v>22.401960784313726</v>
      </c>
      <c r="DX55" s="24">
        <v>22.794117647058822</v>
      </c>
      <c r="DY55" s="24">
        <v>6.6647058823529406</v>
      </c>
      <c r="DZ55" s="24">
        <v>6.8676470588235299</v>
      </c>
      <c r="EA55" s="24">
        <v>507.94117647058823</v>
      </c>
      <c r="EB55" s="24">
        <v>412.23529411764707</v>
      </c>
      <c r="EC55" s="24">
        <v>412.23529411764707</v>
      </c>
      <c r="ED55" s="24">
        <v>81.267647058823528</v>
      </c>
      <c r="EE55" s="24">
        <v>60</v>
      </c>
      <c r="EF55" s="24">
        <v>80.524700965281994</v>
      </c>
      <c r="EG55" s="24">
        <v>87.552612698960743</v>
      </c>
      <c r="EH55" s="25">
        <v>85.115196195901405</v>
      </c>
      <c r="EI55" s="20">
        <v>17</v>
      </c>
      <c r="EJ55" s="24">
        <v>21.813725490196077</v>
      </c>
      <c r="EK55" s="24">
        <v>23.1078431372549</v>
      </c>
      <c r="EL55" s="24">
        <v>6.8676470588235299</v>
      </c>
      <c r="EM55" s="24">
        <v>543.23529411764707</v>
      </c>
      <c r="EN55" s="24">
        <v>450.88235294117646</v>
      </c>
      <c r="EO55" s="24">
        <v>77.647058823529406</v>
      </c>
      <c r="EP55" s="24">
        <v>82.941596910100657</v>
      </c>
      <c r="EQ55" s="25">
        <v>14.705882352941176</v>
      </c>
      <c r="ER55" s="20">
        <v>7</v>
      </c>
      <c r="ES55" s="24">
        <v>21.857142857142858</v>
      </c>
      <c r="ET55" s="24">
        <v>22.5</v>
      </c>
      <c r="EU55" s="24">
        <v>6.8071428571428578</v>
      </c>
      <c r="EV55" s="24">
        <v>7.0476190476190466</v>
      </c>
      <c r="EW55" s="24">
        <v>551.42857142857144</v>
      </c>
      <c r="EX55" s="24">
        <v>440</v>
      </c>
      <c r="EY55" s="24">
        <v>38.571428571428569</v>
      </c>
      <c r="EZ55" s="24">
        <v>79.732857142857142</v>
      </c>
      <c r="FA55" s="24">
        <v>58.428571428571431</v>
      </c>
      <c r="FB55" s="24">
        <v>74.547413538367181</v>
      </c>
      <c r="FC55" s="24">
        <v>89.191028311297615</v>
      </c>
      <c r="FD55" s="24">
        <v>87.759610169210575</v>
      </c>
    </row>
    <row r="56" spans="1:160" x14ac:dyDescent="0.25">
      <c r="A56">
        <v>4136</v>
      </c>
      <c r="B56">
        <v>2</v>
      </c>
      <c r="C56">
        <v>19</v>
      </c>
      <c r="D56" s="1">
        <v>1.62</v>
      </c>
      <c r="E56">
        <v>70</v>
      </c>
      <c r="F56">
        <v>26.67</v>
      </c>
      <c r="G56">
        <v>1</v>
      </c>
      <c r="H56">
        <v>16</v>
      </c>
      <c r="I56">
        <v>27</v>
      </c>
      <c r="J56">
        <v>2</v>
      </c>
      <c r="K56">
        <v>2</v>
      </c>
      <c r="L56">
        <v>3</v>
      </c>
      <c r="M56" s="1">
        <v>22.22</v>
      </c>
      <c r="N56">
        <v>23.1</v>
      </c>
      <c r="O56" s="1">
        <v>22.5</v>
      </c>
      <c r="P56" s="1">
        <v>0.28000000000000003</v>
      </c>
      <c r="Q56" s="1">
        <v>24.209999999999997</v>
      </c>
      <c r="R56" s="1">
        <v>1.99</v>
      </c>
      <c r="S56" s="1">
        <v>21.5</v>
      </c>
      <c r="T56">
        <v>0</v>
      </c>
      <c r="U56">
        <v>0</v>
      </c>
      <c r="V56">
        <v>1</v>
      </c>
      <c r="W56">
        <v>9</v>
      </c>
      <c r="X56">
        <v>1</v>
      </c>
      <c r="Y56">
        <v>6</v>
      </c>
      <c r="Z56">
        <v>8</v>
      </c>
      <c r="AA56">
        <v>1</v>
      </c>
      <c r="AB56">
        <v>1</v>
      </c>
      <c r="AC56">
        <v>18</v>
      </c>
      <c r="AD56">
        <v>3</v>
      </c>
      <c r="AE56">
        <v>1</v>
      </c>
      <c r="AF56">
        <v>3</v>
      </c>
      <c r="AG56">
        <v>2</v>
      </c>
      <c r="AH56">
        <v>3</v>
      </c>
      <c r="AI56">
        <v>1</v>
      </c>
      <c r="AJ56">
        <v>0</v>
      </c>
      <c r="AK56">
        <v>3</v>
      </c>
      <c r="AL56">
        <v>13</v>
      </c>
      <c r="AM56">
        <v>2</v>
      </c>
      <c r="AN56">
        <v>8</v>
      </c>
      <c r="AO56">
        <v>6</v>
      </c>
      <c r="AP56">
        <v>1</v>
      </c>
      <c r="AQ56">
        <v>15</v>
      </c>
      <c r="AR56">
        <v>7</v>
      </c>
      <c r="AS56">
        <v>15</v>
      </c>
      <c r="AT56">
        <v>9</v>
      </c>
      <c r="AU56">
        <v>1</v>
      </c>
      <c r="AV56">
        <v>5</v>
      </c>
      <c r="AW56">
        <v>11</v>
      </c>
      <c r="AX56">
        <v>1</v>
      </c>
      <c r="AY56">
        <v>1</v>
      </c>
      <c r="AZ56">
        <v>15</v>
      </c>
      <c r="BA56">
        <v>3</v>
      </c>
      <c r="BB56">
        <v>2</v>
      </c>
      <c r="BC56">
        <v>3</v>
      </c>
      <c r="BD56">
        <v>0</v>
      </c>
      <c r="BE56">
        <v>1</v>
      </c>
      <c r="BF56">
        <v>1</v>
      </c>
      <c r="BG56">
        <v>0</v>
      </c>
      <c r="BH56">
        <v>2</v>
      </c>
      <c r="BI56">
        <v>9</v>
      </c>
      <c r="BJ56">
        <v>2</v>
      </c>
      <c r="BK56">
        <v>7</v>
      </c>
      <c r="BL56">
        <v>4</v>
      </c>
      <c r="BM56">
        <v>2</v>
      </c>
      <c r="BN56">
        <v>13</v>
      </c>
      <c r="BO56">
        <v>5</v>
      </c>
      <c r="BP56">
        <v>0</v>
      </c>
      <c r="BQ56">
        <v>4</v>
      </c>
      <c r="BR56">
        <v>2</v>
      </c>
      <c r="BS56">
        <v>2</v>
      </c>
      <c r="BT56">
        <v>4</v>
      </c>
      <c r="BU56">
        <v>2</v>
      </c>
      <c r="BV56">
        <v>2</v>
      </c>
      <c r="BW56">
        <v>3</v>
      </c>
      <c r="BX56">
        <v>2</v>
      </c>
      <c r="BY56">
        <v>1</v>
      </c>
      <c r="BZ56">
        <v>2</v>
      </c>
      <c r="CA56">
        <v>2</v>
      </c>
      <c r="CB56">
        <v>1</v>
      </c>
      <c r="CC56">
        <v>9</v>
      </c>
      <c r="CD56">
        <v>3</v>
      </c>
      <c r="CE56">
        <v>1</v>
      </c>
      <c r="CF56">
        <v>1</v>
      </c>
      <c r="CG56">
        <v>34</v>
      </c>
      <c r="CH56">
        <v>27</v>
      </c>
      <c r="CI56">
        <v>31</v>
      </c>
      <c r="CJ56">
        <v>30</v>
      </c>
      <c r="CK56">
        <v>29</v>
      </c>
      <c r="CL56">
        <v>32</v>
      </c>
      <c r="CM56">
        <v>18</v>
      </c>
      <c r="CN56">
        <v>31</v>
      </c>
      <c r="CO56">
        <v>31</v>
      </c>
      <c r="CP56" s="26">
        <v>22</v>
      </c>
      <c r="CQ56" s="20">
        <v>7</v>
      </c>
      <c r="CR56" s="24">
        <v>23.642857142857142</v>
      </c>
      <c r="CS56" s="24">
        <v>26.428571428571427</v>
      </c>
      <c r="CT56" s="24">
        <v>7.7142857142857144</v>
      </c>
      <c r="CU56" s="24">
        <v>484.28571428571428</v>
      </c>
      <c r="CV56" s="24">
        <v>274.28571428571428</v>
      </c>
      <c r="CW56" s="24">
        <v>167.14285714285714</v>
      </c>
      <c r="CX56" s="24">
        <v>57.096941441153255</v>
      </c>
      <c r="CY56" s="25">
        <v>42.857142857142854</v>
      </c>
      <c r="CZ56" s="20">
        <v>7</v>
      </c>
      <c r="DA56" s="24">
        <v>24.214285714285715</v>
      </c>
      <c r="DB56" s="24">
        <v>25.290476190476191</v>
      </c>
      <c r="DC56" s="24">
        <v>8.5238095238095237</v>
      </c>
      <c r="DD56" s="24">
        <v>8.7142857142857135</v>
      </c>
      <c r="DE56" s="24">
        <v>510</v>
      </c>
      <c r="DF56" s="24">
        <v>380.71428571428572</v>
      </c>
      <c r="DG56" s="24">
        <v>64.571428571428569</v>
      </c>
      <c r="DH56" s="24">
        <v>74.432857142857145</v>
      </c>
      <c r="DI56" s="24">
        <v>53.285714285714285</v>
      </c>
      <c r="DJ56" s="24">
        <v>72.038067752353456</v>
      </c>
      <c r="DK56" s="24">
        <v>88.682402253830816</v>
      </c>
      <c r="DL56" s="25">
        <v>84.265787122929964</v>
      </c>
      <c r="DM56" s="20">
        <v>15</v>
      </c>
      <c r="DN56" s="24">
        <v>23.216666666666665</v>
      </c>
      <c r="DO56" s="24">
        <v>25.35</v>
      </c>
      <c r="DP56" s="24">
        <v>8.85</v>
      </c>
      <c r="DQ56" s="24">
        <v>578</v>
      </c>
      <c r="DR56" s="24">
        <v>389.66666666666669</v>
      </c>
      <c r="DS56" s="24">
        <v>128</v>
      </c>
      <c r="DT56" s="24">
        <v>66.592690411421998</v>
      </c>
      <c r="DU56" s="25">
        <v>60.333333333333336</v>
      </c>
      <c r="DV56" s="20">
        <v>15</v>
      </c>
      <c r="DW56" s="24">
        <v>22.482142857142858</v>
      </c>
      <c r="DX56" s="24">
        <v>24.608333333333331</v>
      </c>
      <c r="DY56" s="24">
        <v>8.0321428571428566</v>
      </c>
      <c r="DZ56" s="24">
        <v>8.3392857142857135</v>
      </c>
      <c r="EA56" s="24">
        <v>591.42857142857144</v>
      </c>
      <c r="EB56" s="24">
        <v>390.21428571428572</v>
      </c>
      <c r="EC56" s="24">
        <v>390.21428571428572</v>
      </c>
      <c r="ED56" s="24">
        <v>66.094285714285732</v>
      </c>
      <c r="EE56" s="24">
        <v>55.214285714285715</v>
      </c>
      <c r="EF56" s="24">
        <v>50.144348077560061</v>
      </c>
      <c r="EG56" s="24">
        <v>89.827671245783009</v>
      </c>
      <c r="EH56" s="25">
        <v>83.558856132794901</v>
      </c>
      <c r="EI56" s="20">
        <v>12</v>
      </c>
      <c r="EJ56" s="24">
        <v>22.541666666666668</v>
      </c>
      <c r="EK56" s="24">
        <v>24.875</v>
      </c>
      <c r="EL56" s="24">
        <v>8.4791666666666661</v>
      </c>
      <c r="EM56" s="24">
        <v>596.25</v>
      </c>
      <c r="EN56" s="24">
        <v>407.08333333333331</v>
      </c>
      <c r="EO56" s="24">
        <v>140</v>
      </c>
      <c r="EP56" s="24">
        <v>67.522472209679805</v>
      </c>
      <c r="EQ56" s="25">
        <v>49.166666666666664</v>
      </c>
      <c r="ER56" s="20">
        <v>14</v>
      </c>
      <c r="ES56" s="24">
        <v>22.482142857142858</v>
      </c>
      <c r="ET56" s="24">
        <v>24.608333333333331</v>
      </c>
      <c r="EU56" s="24">
        <v>8.0321428571428566</v>
      </c>
      <c r="EV56" s="24">
        <v>8.3392857142857135</v>
      </c>
      <c r="EW56" s="24">
        <v>591.42857142857144</v>
      </c>
      <c r="EX56" s="24">
        <v>390.21428571428572</v>
      </c>
      <c r="EY56" s="24">
        <v>127.57142857142857</v>
      </c>
      <c r="EZ56" s="24">
        <v>66.094285714285732</v>
      </c>
      <c r="FA56" s="24">
        <v>55.214285714285715</v>
      </c>
      <c r="FB56" s="24">
        <v>50.144348077560061</v>
      </c>
      <c r="FC56" s="24">
        <v>89.827671245783009</v>
      </c>
      <c r="FD56" s="24">
        <v>83.558856132794901</v>
      </c>
    </row>
    <row r="57" spans="1:160" x14ac:dyDescent="0.25">
      <c r="A57">
        <v>4143</v>
      </c>
      <c r="B57">
        <v>2</v>
      </c>
      <c r="C57">
        <v>28</v>
      </c>
      <c r="D57" s="1">
        <v>1.72</v>
      </c>
      <c r="E57">
        <v>94</v>
      </c>
      <c r="F57">
        <v>31.77</v>
      </c>
      <c r="G57">
        <v>2</v>
      </c>
      <c r="H57">
        <v>5</v>
      </c>
      <c r="I57">
        <v>39</v>
      </c>
      <c r="J57">
        <v>2</v>
      </c>
      <c r="K57">
        <v>1</v>
      </c>
      <c r="L57">
        <v>3</v>
      </c>
      <c r="M57" s="1">
        <v>21.52</v>
      </c>
      <c r="N57">
        <v>24.72</v>
      </c>
      <c r="O57" s="1">
        <v>21.5</v>
      </c>
      <c r="P57" s="1">
        <v>-0.02</v>
      </c>
      <c r="Q57" s="1">
        <v>23.46</v>
      </c>
      <c r="R57" s="1">
        <v>1.94</v>
      </c>
      <c r="S57" s="1">
        <v>20.5</v>
      </c>
      <c r="T57">
        <v>2</v>
      </c>
      <c r="U57">
        <v>2</v>
      </c>
      <c r="V57">
        <v>1</v>
      </c>
      <c r="W57">
        <v>7</v>
      </c>
      <c r="X57">
        <v>1</v>
      </c>
      <c r="Y57">
        <v>4</v>
      </c>
      <c r="Z57">
        <v>13</v>
      </c>
      <c r="AA57">
        <v>1</v>
      </c>
      <c r="AB57">
        <v>1</v>
      </c>
      <c r="AC57">
        <v>8</v>
      </c>
      <c r="AD57">
        <v>2</v>
      </c>
      <c r="AE57">
        <v>1</v>
      </c>
      <c r="AF57">
        <v>0</v>
      </c>
      <c r="AG57">
        <v>0</v>
      </c>
      <c r="AH57">
        <v>0</v>
      </c>
      <c r="AI57">
        <v>2</v>
      </c>
      <c r="AJ57">
        <v>0</v>
      </c>
      <c r="AK57">
        <v>1</v>
      </c>
      <c r="AL57">
        <v>4</v>
      </c>
      <c r="AM57">
        <v>1</v>
      </c>
      <c r="AN57">
        <v>8</v>
      </c>
      <c r="AO57">
        <v>4</v>
      </c>
      <c r="AP57">
        <v>3</v>
      </c>
      <c r="AQ57">
        <v>15</v>
      </c>
      <c r="AR57">
        <v>5</v>
      </c>
      <c r="AS57">
        <v>14</v>
      </c>
      <c r="AT57">
        <v>3</v>
      </c>
      <c r="AU57">
        <v>1</v>
      </c>
      <c r="AV57">
        <v>4</v>
      </c>
      <c r="AW57">
        <v>0</v>
      </c>
      <c r="AX57">
        <v>1</v>
      </c>
      <c r="AY57">
        <v>1</v>
      </c>
      <c r="AZ57">
        <v>1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2</v>
      </c>
      <c r="BL57">
        <v>1</v>
      </c>
      <c r="BM57">
        <v>2</v>
      </c>
      <c r="BN57">
        <v>5</v>
      </c>
      <c r="BO57">
        <v>0</v>
      </c>
      <c r="BP57">
        <v>6</v>
      </c>
      <c r="BQ57">
        <v>3</v>
      </c>
      <c r="BR57">
        <v>2</v>
      </c>
      <c r="BS57">
        <v>1</v>
      </c>
      <c r="BT57">
        <v>3</v>
      </c>
      <c r="BU57">
        <v>2</v>
      </c>
      <c r="BV57">
        <v>1</v>
      </c>
      <c r="BW57">
        <v>3</v>
      </c>
      <c r="BX57">
        <v>2</v>
      </c>
      <c r="BY57">
        <v>1</v>
      </c>
      <c r="BZ57">
        <v>2</v>
      </c>
      <c r="CA57">
        <v>2</v>
      </c>
      <c r="CB57">
        <v>1</v>
      </c>
      <c r="CC57">
        <v>9</v>
      </c>
      <c r="CD57">
        <v>4</v>
      </c>
      <c r="CE57">
        <v>2</v>
      </c>
      <c r="CF57">
        <v>2</v>
      </c>
      <c r="CG57">
        <v>15</v>
      </c>
      <c r="CH57">
        <v>20</v>
      </c>
      <c r="CI57">
        <v>17</v>
      </c>
      <c r="CJ57">
        <v>15</v>
      </c>
      <c r="CK57">
        <v>11</v>
      </c>
      <c r="CL57">
        <v>27</v>
      </c>
      <c r="CM57">
        <v>13</v>
      </c>
      <c r="CN57">
        <v>11</v>
      </c>
      <c r="CO57">
        <v>10</v>
      </c>
      <c r="CP57" s="26">
        <v>8</v>
      </c>
      <c r="CQ57" s="20">
        <v>7</v>
      </c>
      <c r="CR57" s="24">
        <v>23.464285714285712</v>
      </c>
      <c r="CS57" s="24">
        <v>23.654761904761905</v>
      </c>
      <c r="CT57" s="24">
        <v>7.8738095238095243</v>
      </c>
      <c r="CU57" s="24">
        <v>504.57142857142856</v>
      </c>
      <c r="CV57" s="24">
        <v>484</v>
      </c>
      <c r="CW57" s="24">
        <v>11.428571428571429</v>
      </c>
      <c r="CX57" s="24">
        <v>95.900348355527612</v>
      </c>
      <c r="CY57" s="25">
        <v>9.1428571428571423</v>
      </c>
      <c r="CZ57" s="20">
        <v>7</v>
      </c>
      <c r="DA57" s="24">
        <v>23.464285714285712</v>
      </c>
      <c r="DB57" s="24">
        <v>23.650000000000002</v>
      </c>
      <c r="DC57" s="24">
        <v>7.6261904761904757</v>
      </c>
      <c r="DD57" s="24">
        <v>7.8738095238095243</v>
      </c>
      <c r="DE57" s="24">
        <v>504.57142857142856</v>
      </c>
      <c r="DF57" s="24">
        <v>440.57142857142856</v>
      </c>
      <c r="DG57" s="24">
        <v>11.142857142857142</v>
      </c>
      <c r="DH57" s="24">
        <v>87.262857142857143</v>
      </c>
      <c r="DI57" s="24">
        <v>38</v>
      </c>
      <c r="DJ57" s="24">
        <v>89.155177706132577</v>
      </c>
      <c r="DK57" s="24">
        <v>92.753794917947289</v>
      </c>
      <c r="DL57" s="25">
        <v>88.758550584845423</v>
      </c>
      <c r="DM57" s="20">
        <v>20</v>
      </c>
      <c r="DN57" s="24">
        <v>22.18</v>
      </c>
      <c r="DO57" s="24">
        <v>22.417499999999997</v>
      </c>
      <c r="DP57" s="24">
        <v>7.125</v>
      </c>
      <c r="DQ57" s="24">
        <v>536.70000000000005</v>
      </c>
      <c r="DR57" s="24">
        <v>505.21052631578948</v>
      </c>
      <c r="DS57" s="24">
        <v>14.25</v>
      </c>
      <c r="DT57" s="24">
        <v>92.862457604650032</v>
      </c>
      <c r="DU57" s="25">
        <v>16.842105263157894</v>
      </c>
      <c r="DV57" s="20">
        <v>20</v>
      </c>
      <c r="DW57" s="24">
        <v>22.330000000000002</v>
      </c>
      <c r="DX57" s="24">
        <v>22.584166666666668</v>
      </c>
      <c r="DY57" s="24">
        <v>7.0675000000000008</v>
      </c>
      <c r="DZ57" s="24">
        <v>7.125</v>
      </c>
      <c r="EA57" s="24">
        <v>527.70000000000005</v>
      </c>
      <c r="EB57" s="24">
        <v>465.65</v>
      </c>
      <c r="EC57" s="24">
        <v>465.65</v>
      </c>
      <c r="ED57" s="24">
        <v>88.227999999999994</v>
      </c>
      <c r="EE57" s="24">
        <v>43.35</v>
      </c>
      <c r="EF57" s="24">
        <v>85.891562236850646</v>
      </c>
      <c r="EG57" s="24">
        <v>91.965087349421012</v>
      </c>
      <c r="EH57" s="25">
        <v>90.529534814846613</v>
      </c>
      <c r="EI57" s="20">
        <v>18</v>
      </c>
      <c r="EJ57" s="24">
        <v>21.94537037037037</v>
      </c>
      <c r="EK57" s="24">
        <v>22.149074074074075</v>
      </c>
      <c r="EL57" s="24">
        <v>7.1111111111111107</v>
      </c>
      <c r="EM57" s="24">
        <v>549.94444444444446</v>
      </c>
      <c r="EN57" s="24">
        <v>529.94117647058829</v>
      </c>
      <c r="EO57" s="24">
        <v>12.222222222222221</v>
      </c>
      <c r="EP57" s="24">
        <v>96.424308264198075</v>
      </c>
      <c r="EQ57" s="25">
        <v>8.235294117647058</v>
      </c>
      <c r="ER57" s="20">
        <v>12</v>
      </c>
      <c r="ES57" s="24">
        <v>21.931944444444444</v>
      </c>
      <c r="ET57" s="24">
        <v>22.244444444444444</v>
      </c>
      <c r="EU57" s="24">
        <v>6.9111111111111114</v>
      </c>
      <c r="EV57" s="24">
        <v>6.958333333333333</v>
      </c>
      <c r="EW57" s="24">
        <v>541.58333333333337</v>
      </c>
      <c r="EX57" s="24">
        <v>472.33333333333331</v>
      </c>
      <c r="EY57" s="24">
        <v>18.75</v>
      </c>
      <c r="EZ57" s="24">
        <v>87.194166666666661</v>
      </c>
      <c r="FA57" s="24">
        <v>47.666666666666664</v>
      </c>
      <c r="FB57" s="24">
        <v>83.110025411432403</v>
      </c>
      <c r="FC57" s="24">
        <v>91.959089720178198</v>
      </c>
      <c r="FD57" s="24">
        <v>90.963890071711361</v>
      </c>
    </row>
    <row r="58" spans="1:160" x14ac:dyDescent="0.25">
      <c r="A58">
        <v>4146</v>
      </c>
      <c r="B58">
        <v>2</v>
      </c>
      <c r="C58">
        <v>23</v>
      </c>
      <c r="D58" s="1">
        <v>1.73</v>
      </c>
      <c r="E58">
        <v>60</v>
      </c>
      <c r="F58">
        <v>20.05</v>
      </c>
      <c r="G58">
        <v>2</v>
      </c>
      <c r="H58">
        <v>12</v>
      </c>
      <c r="I58">
        <v>24</v>
      </c>
      <c r="J58">
        <v>2</v>
      </c>
      <c r="K58">
        <v>2</v>
      </c>
      <c r="L58">
        <v>3</v>
      </c>
      <c r="M58" s="1">
        <v>22.72</v>
      </c>
      <c r="O58" s="1">
        <v>23</v>
      </c>
      <c r="P58" s="1">
        <v>0.28000000000000003</v>
      </c>
      <c r="Q58" s="1">
        <v>25.729999999999997</v>
      </c>
      <c r="R58" s="1">
        <v>3.01</v>
      </c>
      <c r="S58" s="1">
        <v>22</v>
      </c>
      <c r="T58">
        <v>0</v>
      </c>
      <c r="U58">
        <v>2</v>
      </c>
      <c r="V58">
        <v>0</v>
      </c>
      <c r="W58">
        <v>7</v>
      </c>
      <c r="X58">
        <v>1</v>
      </c>
      <c r="Y58">
        <v>6</v>
      </c>
      <c r="Z58">
        <v>4</v>
      </c>
      <c r="AA58">
        <v>1</v>
      </c>
      <c r="AB58">
        <v>1</v>
      </c>
      <c r="AC58">
        <v>16</v>
      </c>
      <c r="AD58">
        <v>3</v>
      </c>
      <c r="AE58">
        <v>2</v>
      </c>
      <c r="AF58">
        <v>3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7</v>
      </c>
      <c r="AM58">
        <v>2</v>
      </c>
      <c r="AN58">
        <v>6</v>
      </c>
      <c r="AO58">
        <v>7</v>
      </c>
      <c r="AP58">
        <v>7</v>
      </c>
      <c r="AQ58">
        <v>20</v>
      </c>
      <c r="AR58">
        <v>2</v>
      </c>
      <c r="AS58">
        <v>0</v>
      </c>
      <c r="AT58">
        <v>4</v>
      </c>
      <c r="AU58">
        <v>1</v>
      </c>
      <c r="AV58">
        <v>9</v>
      </c>
      <c r="AW58">
        <v>7</v>
      </c>
      <c r="AX58">
        <v>1</v>
      </c>
      <c r="AY58">
        <v>1</v>
      </c>
      <c r="AZ58">
        <v>7</v>
      </c>
      <c r="BA58">
        <v>1</v>
      </c>
      <c r="BB58">
        <v>1</v>
      </c>
      <c r="BC58">
        <v>2</v>
      </c>
      <c r="BD58">
        <v>0</v>
      </c>
      <c r="BE58">
        <v>0</v>
      </c>
      <c r="BF58">
        <v>1</v>
      </c>
      <c r="BG58">
        <v>0</v>
      </c>
      <c r="BH58">
        <v>1</v>
      </c>
      <c r="BI58">
        <v>5</v>
      </c>
      <c r="BJ58">
        <v>1</v>
      </c>
      <c r="BK58">
        <v>6</v>
      </c>
      <c r="BL58">
        <v>3</v>
      </c>
      <c r="BM58">
        <v>5</v>
      </c>
      <c r="BN58">
        <v>14</v>
      </c>
      <c r="BO58">
        <v>4</v>
      </c>
      <c r="BP58">
        <v>20</v>
      </c>
      <c r="BQ58">
        <v>4</v>
      </c>
      <c r="BR58">
        <v>2</v>
      </c>
      <c r="BS58">
        <v>2</v>
      </c>
      <c r="BT58">
        <v>4</v>
      </c>
      <c r="BU58">
        <v>2</v>
      </c>
      <c r="BV58">
        <v>2</v>
      </c>
      <c r="BW58">
        <v>3</v>
      </c>
      <c r="BY58">
        <v>1</v>
      </c>
      <c r="CA58">
        <v>2</v>
      </c>
      <c r="CB58">
        <v>1</v>
      </c>
      <c r="CC58">
        <v>9</v>
      </c>
      <c r="CD58">
        <v>6</v>
      </c>
      <c r="CE58">
        <v>2</v>
      </c>
      <c r="CF58">
        <v>2</v>
      </c>
      <c r="CG58">
        <v>27</v>
      </c>
      <c r="CH58">
        <v>21</v>
      </c>
      <c r="CI58">
        <v>26</v>
      </c>
      <c r="CJ58">
        <v>21</v>
      </c>
      <c r="CK58">
        <v>18</v>
      </c>
      <c r="CL58">
        <v>24</v>
      </c>
      <c r="CM58">
        <v>16</v>
      </c>
      <c r="CN58">
        <v>27</v>
      </c>
      <c r="CO58">
        <v>11</v>
      </c>
      <c r="CP58" s="26">
        <v>12</v>
      </c>
      <c r="CQ58" s="20">
        <v>5</v>
      </c>
      <c r="CR58" s="24">
        <v>26.1</v>
      </c>
      <c r="CS58" s="24">
        <v>26.4</v>
      </c>
      <c r="CT58" s="24">
        <v>12.226666666666667</v>
      </c>
      <c r="CU58" s="24">
        <v>607.6</v>
      </c>
      <c r="CV58" s="24">
        <v>567.6</v>
      </c>
      <c r="CW58" s="24">
        <v>18</v>
      </c>
      <c r="CX58" s="24">
        <v>93.358180991042673</v>
      </c>
      <c r="CY58" s="25">
        <v>22</v>
      </c>
      <c r="CZ58" s="20">
        <v>6</v>
      </c>
      <c r="DA58" s="24">
        <v>25.733333333333334</v>
      </c>
      <c r="DB58" s="24">
        <v>25.866666666666671</v>
      </c>
      <c r="DC58" s="24">
        <v>10.272222222222224</v>
      </c>
      <c r="DD58" s="24">
        <v>10.611111111111112</v>
      </c>
      <c r="DE58" s="24">
        <v>532.66666666666663</v>
      </c>
      <c r="DF58" s="24">
        <v>463</v>
      </c>
      <c r="DG58" s="24">
        <v>8</v>
      </c>
      <c r="DH58" s="24">
        <v>86.77</v>
      </c>
      <c r="DI58" s="24">
        <v>41</v>
      </c>
      <c r="DJ58" s="24">
        <v>88.747858655378309</v>
      </c>
      <c r="DK58" s="24">
        <v>93.642948461236927</v>
      </c>
      <c r="DL58" s="25">
        <v>84.106718068405229</v>
      </c>
      <c r="DM58" s="20">
        <v>17</v>
      </c>
      <c r="DN58" s="24">
        <v>22.186274509803923</v>
      </c>
      <c r="DO58" s="24">
        <v>22.578431372549019</v>
      </c>
      <c r="DP58" s="24">
        <v>9.2549019607843146</v>
      </c>
      <c r="DQ58" s="24">
        <v>664.11764705882354</v>
      </c>
      <c r="DR58" s="24">
        <v>637.64705882352939</v>
      </c>
      <c r="DS58" s="24">
        <v>23.529411764705884</v>
      </c>
      <c r="DT58" s="24">
        <v>95.980684391450694</v>
      </c>
      <c r="DU58" s="25">
        <v>2.9411764705882355</v>
      </c>
      <c r="DV58" s="20">
        <v>17</v>
      </c>
      <c r="DW58" s="24">
        <v>22.513888888888889</v>
      </c>
      <c r="DX58" s="24">
        <v>22.783333333333335</v>
      </c>
      <c r="DY58" s="24">
        <v>8.7750000000000004</v>
      </c>
      <c r="DZ58" s="24">
        <v>9.5416666666666661</v>
      </c>
      <c r="EA58" s="24">
        <v>661.66666666666663</v>
      </c>
      <c r="EB58" s="24">
        <v>525.66666666666663</v>
      </c>
      <c r="EC58" s="24">
        <v>525.66666666666663</v>
      </c>
      <c r="ED58" s="24">
        <v>79.186666666666667</v>
      </c>
      <c r="EE58" s="24">
        <v>73.833333333333329</v>
      </c>
      <c r="EF58" s="24">
        <v>79.910309382097452</v>
      </c>
      <c r="EG58" s="24">
        <v>88.941314566024474</v>
      </c>
      <c r="EH58" s="25">
        <v>77.506863183370001</v>
      </c>
      <c r="EI58" s="20">
        <v>15</v>
      </c>
      <c r="EJ58" s="24">
        <v>22.227777777777774</v>
      </c>
      <c r="EK58" s="24">
        <v>22.627777777777776</v>
      </c>
      <c r="EL58" s="24">
        <v>9.1666666666666661</v>
      </c>
      <c r="EM58" s="24">
        <v>656.33333333333337</v>
      </c>
      <c r="EN58" s="24">
        <v>629</v>
      </c>
      <c r="EO58" s="24">
        <v>24</v>
      </c>
      <c r="EP58" s="24">
        <v>95.830997608813462</v>
      </c>
      <c r="EQ58" s="25">
        <v>3.3333333333333335</v>
      </c>
      <c r="ER58" s="20">
        <v>6</v>
      </c>
      <c r="ES58" s="24">
        <v>22.513888888888889</v>
      </c>
      <c r="ET58" s="24">
        <v>22.783333333333335</v>
      </c>
      <c r="EU58" s="24">
        <v>8.7750000000000004</v>
      </c>
      <c r="EV58" s="24">
        <v>9.5416666666666661</v>
      </c>
      <c r="EW58" s="24">
        <v>661.66666666666663</v>
      </c>
      <c r="EX58" s="24">
        <v>525.66666666666663</v>
      </c>
      <c r="EY58" s="24">
        <v>16.166666666666668</v>
      </c>
      <c r="EZ58" s="24">
        <v>79.186666666666667</v>
      </c>
      <c r="FA58" s="24">
        <v>73.833333333333329</v>
      </c>
      <c r="FB58" s="24">
        <v>79.910309382097452</v>
      </c>
      <c r="FC58" s="24">
        <v>88.941314566024474</v>
      </c>
      <c r="FD58" s="24">
        <v>77.506863183370001</v>
      </c>
    </row>
    <row r="59" spans="1:160" x14ac:dyDescent="0.25">
      <c r="A59">
        <v>4147</v>
      </c>
      <c r="B59">
        <v>2</v>
      </c>
      <c r="C59">
        <v>25</v>
      </c>
      <c r="D59" s="1">
        <v>1.82</v>
      </c>
      <c r="E59">
        <v>101</v>
      </c>
      <c r="F59">
        <v>30.49</v>
      </c>
      <c r="G59">
        <v>1</v>
      </c>
      <c r="H59">
        <v>17</v>
      </c>
      <c r="I59">
        <v>20</v>
      </c>
      <c r="J59">
        <v>1</v>
      </c>
      <c r="K59">
        <v>2</v>
      </c>
      <c r="L59">
        <v>3</v>
      </c>
      <c r="M59" s="1">
        <v>22.23</v>
      </c>
      <c r="N59">
        <v>21.3</v>
      </c>
      <c r="O59" s="1">
        <v>22</v>
      </c>
      <c r="P59" s="1">
        <v>-0.23</v>
      </c>
      <c r="Q59" s="1">
        <v>26.59</v>
      </c>
      <c r="R59" s="1">
        <v>4.3600000000000003</v>
      </c>
      <c r="S59" s="1">
        <v>21</v>
      </c>
      <c r="T59">
        <v>0</v>
      </c>
      <c r="U59">
        <v>2</v>
      </c>
      <c r="V59">
        <v>0</v>
      </c>
      <c r="W59">
        <v>6</v>
      </c>
      <c r="X59">
        <v>1</v>
      </c>
      <c r="Y59">
        <v>3</v>
      </c>
      <c r="Z59">
        <v>0</v>
      </c>
      <c r="AA59">
        <v>1</v>
      </c>
      <c r="AB59">
        <v>1</v>
      </c>
      <c r="AC59">
        <v>15</v>
      </c>
      <c r="AD59">
        <v>3</v>
      </c>
      <c r="AE59">
        <v>2</v>
      </c>
      <c r="AF59">
        <v>2</v>
      </c>
      <c r="AG59">
        <v>2</v>
      </c>
      <c r="AH59">
        <v>1</v>
      </c>
      <c r="AI59">
        <v>1</v>
      </c>
      <c r="AJ59">
        <v>0</v>
      </c>
      <c r="AK59">
        <v>1</v>
      </c>
      <c r="AL59">
        <v>9</v>
      </c>
      <c r="AM59">
        <v>2</v>
      </c>
      <c r="AN59">
        <v>6</v>
      </c>
      <c r="AO59">
        <v>4</v>
      </c>
      <c r="AP59">
        <v>7</v>
      </c>
      <c r="AQ59">
        <v>17</v>
      </c>
      <c r="AR59">
        <v>8</v>
      </c>
      <c r="AS59">
        <v>24</v>
      </c>
      <c r="AT59">
        <v>4</v>
      </c>
      <c r="AU59">
        <v>1</v>
      </c>
      <c r="AV59">
        <v>0</v>
      </c>
      <c r="AW59">
        <v>2</v>
      </c>
      <c r="AX59">
        <v>1</v>
      </c>
      <c r="AY59">
        <v>1</v>
      </c>
      <c r="AZ59">
        <v>3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3</v>
      </c>
      <c r="BJ59">
        <v>1</v>
      </c>
      <c r="BK59">
        <v>2</v>
      </c>
      <c r="BL59">
        <v>1</v>
      </c>
      <c r="BM59">
        <v>2</v>
      </c>
      <c r="BN59">
        <v>5</v>
      </c>
      <c r="BO59">
        <v>0</v>
      </c>
      <c r="BP59">
        <v>0</v>
      </c>
      <c r="BQ59">
        <v>4</v>
      </c>
      <c r="BR59">
        <v>2</v>
      </c>
      <c r="BS59">
        <v>2</v>
      </c>
      <c r="BT59">
        <v>4</v>
      </c>
      <c r="BU59">
        <v>2</v>
      </c>
      <c r="BV59">
        <v>2</v>
      </c>
      <c r="BW59">
        <v>2</v>
      </c>
      <c r="BX59">
        <v>1</v>
      </c>
      <c r="BY59">
        <v>1</v>
      </c>
      <c r="BZ59">
        <v>1</v>
      </c>
      <c r="CA59">
        <v>3</v>
      </c>
      <c r="CB59">
        <v>2</v>
      </c>
      <c r="CC59">
        <v>6</v>
      </c>
      <c r="CD59">
        <v>6</v>
      </c>
      <c r="CE59">
        <v>2</v>
      </c>
      <c r="CF59">
        <v>1</v>
      </c>
      <c r="CG59">
        <v>23</v>
      </c>
      <c r="CH59">
        <v>19</v>
      </c>
      <c r="CI59">
        <v>20</v>
      </c>
      <c r="CJ59">
        <v>20</v>
      </c>
      <c r="CK59">
        <v>18</v>
      </c>
      <c r="CL59">
        <v>18</v>
      </c>
      <c r="CM59">
        <v>15</v>
      </c>
      <c r="CN59">
        <v>17</v>
      </c>
      <c r="CO59">
        <v>16</v>
      </c>
      <c r="CP59" s="26">
        <v>13</v>
      </c>
      <c r="CQ59" s="20">
        <v>7</v>
      </c>
      <c r="CR59" s="24">
        <v>26.588095238095235</v>
      </c>
      <c r="CS59" s="24">
        <v>27.088095238095239</v>
      </c>
      <c r="CT59" s="24">
        <v>9.7357142857142858</v>
      </c>
      <c r="CU59" s="24">
        <v>428.85714285714283</v>
      </c>
      <c r="CV59" s="24">
        <v>371.71428571428572</v>
      </c>
      <c r="CW59" s="24">
        <v>30</v>
      </c>
      <c r="CX59" s="24">
        <v>85.840233408626659</v>
      </c>
      <c r="CY59" s="25">
        <v>27.142857142857142</v>
      </c>
      <c r="CZ59" s="20">
        <v>7</v>
      </c>
      <c r="DA59" s="24">
        <v>26.588095238095235</v>
      </c>
      <c r="DB59" s="24">
        <v>26.902380952380952</v>
      </c>
      <c r="DC59" s="24">
        <v>9.788095238095238</v>
      </c>
      <c r="DD59" s="24">
        <v>9.8785714285714299</v>
      </c>
      <c r="DE59" s="24">
        <v>437.42857142857144</v>
      </c>
      <c r="DF59" s="24">
        <v>372.57142857142856</v>
      </c>
      <c r="DG59" s="24">
        <v>18.857142857142858</v>
      </c>
      <c r="DH59" s="24">
        <v>84.934285714285707</v>
      </c>
      <c r="DI59" s="24">
        <v>40.571428571428569</v>
      </c>
      <c r="DJ59" s="24">
        <v>80.778437020530106</v>
      </c>
      <c r="DK59" s="24">
        <v>88.840472693362017</v>
      </c>
      <c r="DL59" s="25">
        <v>89.676262249514352</v>
      </c>
      <c r="DM59" s="20">
        <v>19</v>
      </c>
      <c r="DN59" s="24">
        <v>22.299122807017543</v>
      </c>
      <c r="DO59" s="24">
        <v>22.965789473684207</v>
      </c>
      <c r="DP59" s="24">
        <v>6.5456140350877208</v>
      </c>
      <c r="DQ59" s="24">
        <v>494.78947368421052</v>
      </c>
      <c r="DR59" s="24">
        <v>417.15789473684208</v>
      </c>
      <c r="DS59" s="24">
        <v>40</v>
      </c>
      <c r="DT59" s="24">
        <v>84.974370511663764</v>
      </c>
      <c r="DU59" s="25">
        <v>37.631578947368418</v>
      </c>
      <c r="DV59" s="20">
        <v>19</v>
      </c>
      <c r="DW59" s="24">
        <v>22.535964912280701</v>
      </c>
      <c r="DX59" s="24">
        <v>23.551754385964916</v>
      </c>
      <c r="DY59" s="24">
        <v>6.5710526315789481</v>
      </c>
      <c r="DZ59" s="24">
        <v>6.7824561403508774</v>
      </c>
      <c r="EA59" s="24">
        <v>494.78947368421052</v>
      </c>
      <c r="EB59" s="24">
        <v>372.31578947368422</v>
      </c>
      <c r="EC59" s="24">
        <v>372.31578947368422</v>
      </c>
      <c r="ED59" s="24">
        <v>75.45210526315789</v>
      </c>
      <c r="EE59" s="24">
        <v>48.842105263157897</v>
      </c>
      <c r="EF59" s="24">
        <v>71.167229265236415</v>
      </c>
      <c r="EG59" s="24">
        <v>84.656176332251889</v>
      </c>
      <c r="EH59" s="25">
        <v>88.67215722093863</v>
      </c>
      <c r="EI59" s="20">
        <v>19</v>
      </c>
      <c r="EJ59" s="24">
        <v>22.299122807017543</v>
      </c>
      <c r="EK59" s="24">
        <v>22.965789473684207</v>
      </c>
      <c r="EL59" s="24">
        <v>6.5456140350877208</v>
      </c>
      <c r="EM59" s="24">
        <v>494.78947368421052</v>
      </c>
      <c r="EN59" s="24">
        <v>417.15789473684208</v>
      </c>
      <c r="EO59" s="24">
        <v>40</v>
      </c>
      <c r="EP59" s="24">
        <v>84.974370511663764</v>
      </c>
      <c r="EQ59" s="25">
        <v>37.631578947368418</v>
      </c>
      <c r="ER59" s="20">
        <v>16</v>
      </c>
      <c r="ES59" s="24">
        <v>22.316666666666663</v>
      </c>
      <c r="ET59" s="24">
        <v>23.475000000000001</v>
      </c>
      <c r="EU59" s="24">
        <v>6.302083333333333</v>
      </c>
      <c r="EV59" s="24">
        <v>6.4968750000000011</v>
      </c>
      <c r="EW59" s="24">
        <v>490.8125</v>
      </c>
      <c r="EX59" s="24">
        <v>367.75</v>
      </c>
      <c r="EY59" s="24">
        <v>69.5</v>
      </c>
      <c r="EZ59" s="24">
        <v>75.027499999999989</v>
      </c>
      <c r="FA59" s="24">
        <v>41.875</v>
      </c>
      <c r="FB59" s="24">
        <v>68.2160908949744</v>
      </c>
      <c r="FC59" s="24">
        <v>87.309429737269454</v>
      </c>
      <c r="FD59" s="24">
        <v>88.884311723489631</v>
      </c>
    </row>
    <row r="60" spans="1:160" x14ac:dyDescent="0.25">
      <c r="A60">
        <v>4150</v>
      </c>
      <c r="B60">
        <v>2</v>
      </c>
      <c r="C60">
        <v>25</v>
      </c>
      <c r="D60" s="1">
        <v>1.65</v>
      </c>
      <c r="E60">
        <v>65</v>
      </c>
      <c r="F60">
        <v>23.88</v>
      </c>
      <c r="G60">
        <v>2</v>
      </c>
      <c r="H60">
        <v>11</v>
      </c>
      <c r="I60">
        <v>28</v>
      </c>
      <c r="J60">
        <v>2</v>
      </c>
      <c r="K60">
        <v>1</v>
      </c>
      <c r="L60">
        <v>3</v>
      </c>
      <c r="M60" s="1">
        <v>21.72</v>
      </c>
      <c r="N60">
        <v>19.75</v>
      </c>
      <c r="O60" s="1">
        <v>21</v>
      </c>
      <c r="P60" s="1">
        <v>-0.72</v>
      </c>
      <c r="Q60" s="1">
        <v>23.43</v>
      </c>
      <c r="R60" s="1">
        <v>1.71</v>
      </c>
      <c r="S60" s="1">
        <v>20</v>
      </c>
      <c r="T60">
        <v>0</v>
      </c>
      <c r="U60">
        <v>2</v>
      </c>
      <c r="V60">
        <v>0</v>
      </c>
      <c r="W60">
        <v>8</v>
      </c>
      <c r="X60">
        <v>1</v>
      </c>
      <c r="Y60">
        <v>3</v>
      </c>
      <c r="Z60">
        <v>3</v>
      </c>
      <c r="AA60">
        <v>1</v>
      </c>
      <c r="AB60">
        <v>1</v>
      </c>
      <c r="AC60">
        <v>6</v>
      </c>
      <c r="AD60">
        <v>1</v>
      </c>
      <c r="AE60">
        <v>1</v>
      </c>
      <c r="AF60">
        <v>1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5</v>
      </c>
      <c r="AM60">
        <v>1</v>
      </c>
      <c r="AN60">
        <v>7</v>
      </c>
      <c r="AO60">
        <v>2</v>
      </c>
      <c r="AP60">
        <v>7</v>
      </c>
      <c r="AQ60">
        <v>16</v>
      </c>
      <c r="AR60">
        <v>1</v>
      </c>
      <c r="AS60">
        <v>10</v>
      </c>
      <c r="AT60">
        <v>3</v>
      </c>
      <c r="AU60">
        <v>1</v>
      </c>
      <c r="AV60">
        <v>3</v>
      </c>
      <c r="AW60">
        <v>4</v>
      </c>
      <c r="AX60">
        <v>1</v>
      </c>
      <c r="AY60">
        <v>1</v>
      </c>
      <c r="AZ60">
        <v>2</v>
      </c>
      <c r="BA60">
        <v>1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3</v>
      </c>
      <c r="BJ60">
        <v>1</v>
      </c>
      <c r="BK60">
        <v>2</v>
      </c>
      <c r="BL60">
        <v>1</v>
      </c>
      <c r="BM60">
        <v>2</v>
      </c>
      <c r="BN60">
        <v>5</v>
      </c>
      <c r="BO60">
        <v>0</v>
      </c>
      <c r="BP60">
        <v>0</v>
      </c>
      <c r="BQ60">
        <v>3</v>
      </c>
      <c r="BR60">
        <v>2</v>
      </c>
      <c r="BS60">
        <v>1</v>
      </c>
      <c r="BT60">
        <v>3</v>
      </c>
      <c r="BU60">
        <v>2</v>
      </c>
      <c r="BV60">
        <v>1</v>
      </c>
      <c r="BW60">
        <v>2</v>
      </c>
      <c r="BX60">
        <v>1</v>
      </c>
      <c r="BY60">
        <v>1</v>
      </c>
      <c r="BZ60">
        <v>1</v>
      </c>
      <c r="CA60">
        <v>4</v>
      </c>
      <c r="CB60">
        <v>2</v>
      </c>
      <c r="CC60">
        <v>2</v>
      </c>
      <c r="CD60">
        <v>6</v>
      </c>
      <c r="CE60">
        <v>2</v>
      </c>
      <c r="CF60">
        <v>2</v>
      </c>
      <c r="CG60">
        <v>16</v>
      </c>
      <c r="CH60">
        <v>10</v>
      </c>
      <c r="CI60">
        <v>13</v>
      </c>
      <c r="CJ60">
        <v>10</v>
      </c>
      <c r="CK60">
        <v>8</v>
      </c>
      <c r="CL60">
        <v>18</v>
      </c>
      <c r="CM60">
        <v>12</v>
      </c>
      <c r="CN60">
        <v>13</v>
      </c>
      <c r="CO60">
        <v>13</v>
      </c>
      <c r="CP60" s="26">
        <v>13</v>
      </c>
      <c r="CQ60" s="20">
        <v>7</v>
      </c>
      <c r="CR60" s="24">
        <v>23.428571428571427</v>
      </c>
      <c r="CS60" s="24">
        <v>23.797619047619047</v>
      </c>
      <c r="CT60" s="24">
        <v>8.1904761904761916</v>
      </c>
      <c r="CU60" s="24">
        <v>525.71428571428567</v>
      </c>
      <c r="CV60" s="24">
        <v>492.85714285714283</v>
      </c>
      <c r="CW60" s="24">
        <v>22.142857142857142</v>
      </c>
      <c r="CX60" s="24">
        <v>93.782394254092353</v>
      </c>
      <c r="CY60" s="25">
        <v>10.714285714285714</v>
      </c>
      <c r="CZ60" s="20">
        <v>7</v>
      </c>
      <c r="DA60" s="24">
        <v>23.428571428571427</v>
      </c>
      <c r="DB60" s="24">
        <v>23.635714285714283</v>
      </c>
      <c r="DC60" s="24">
        <v>7.973809523809523</v>
      </c>
      <c r="DD60" s="24">
        <v>8.1904761904761916</v>
      </c>
      <c r="DE60" s="24">
        <v>525.71428571428567</v>
      </c>
      <c r="DF60" s="24">
        <v>437.42857142857144</v>
      </c>
      <c r="DG60" s="24">
        <v>12.428571428571429</v>
      </c>
      <c r="DH60" s="24">
        <v>83.147142857142853</v>
      </c>
      <c r="DI60" s="24">
        <v>62.857142857142854</v>
      </c>
      <c r="DJ60" s="24">
        <v>83.43025400168257</v>
      </c>
      <c r="DK60" s="24">
        <v>87.77651027651028</v>
      </c>
      <c r="DL60" s="25">
        <v>85.915665838789323</v>
      </c>
      <c r="DN60" s="24"/>
      <c r="DO60" s="24"/>
      <c r="DP60" s="24"/>
      <c r="DQ60" s="24"/>
      <c r="DR60" s="24"/>
      <c r="DS60" s="24"/>
      <c r="DT60" s="24"/>
      <c r="DU60" s="25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5"/>
      <c r="EJ60" s="24"/>
      <c r="EK60" s="24"/>
      <c r="EL60" s="24"/>
      <c r="EM60" s="24"/>
      <c r="EN60" s="24"/>
      <c r="EO60" s="24"/>
      <c r="EP60" s="24"/>
      <c r="EQ60" s="25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</row>
    <row r="61" spans="1:160" x14ac:dyDescent="0.25">
      <c r="A61">
        <v>4151</v>
      </c>
      <c r="B61">
        <v>1</v>
      </c>
      <c r="C61">
        <v>41</v>
      </c>
      <c r="D61" s="1">
        <v>1.85</v>
      </c>
      <c r="E61">
        <v>116</v>
      </c>
      <c r="F61">
        <v>33.89</v>
      </c>
      <c r="G61">
        <v>2</v>
      </c>
      <c r="H61">
        <v>19</v>
      </c>
      <c r="I61">
        <v>26</v>
      </c>
      <c r="J61">
        <v>2</v>
      </c>
      <c r="K61">
        <v>2</v>
      </c>
      <c r="L61">
        <v>3</v>
      </c>
      <c r="M61" s="1">
        <v>23.23</v>
      </c>
      <c r="N61">
        <v>23.23</v>
      </c>
      <c r="O61" s="1">
        <v>21.5</v>
      </c>
      <c r="P61" s="1">
        <v>-1.73</v>
      </c>
      <c r="Q61" s="1">
        <v>25.04</v>
      </c>
      <c r="R61" s="1">
        <v>1.81</v>
      </c>
      <c r="S61" s="1">
        <v>20.5</v>
      </c>
      <c r="T61">
        <v>0</v>
      </c>
      <c r="U61">
        <v>1</v>
      </c>
      <c r="V61">
        <v>0</v>
      </c>
      <c r="W61">
        <v>5</v>
      </c>
      <c r="X61">
        <v>1</v>
      </c>
      <c r="Y61">
        <v>5</v>
      </c>
      <c r="Z61">
        <v>5</v>
      </c>
      <c r="AA61">
        <v>1</v>
      </c>
      <c r="AB61">
        <v>1</v>
      </c>
      <c r="AC61">
        <v>10</v>
      </c>
      <c r="AD61">
        <v>2</v>
      </c>
      <c r="AE61">
        <v>2</v>
      </c>
      <c r="AF61">
        <v>3</v>
      </c>
      <c r="AG61">
        <v>2</v>
      </c>
      <c r="AH61">
        <v>2</v>
      </c>
      <c r="AI61">
        <v>1</v>
      </c>
      <c r="AJ61">
        <v>0</v>
      </c>
      <c r="AK61">
        <v>1</v>
      </c>
      <c r="AL61">
        <v>11</v>
      </c>
      <c r="AM61">
        <v>2</v>
      </c>
      <c r="AN61">
        <v>6</v>
      </c>
      <c r="AO61">
        <v>6</v>
      </c>
      <c r="AP61">
        <v>1</v>
      </c>
      <c r="AQ61">
        <v>13</v>
      </c>
      <c r="AR61">
        <v>2</v>
      </c>
      <c r="AS61">
        <v>4</v>
      </c>
      <c r="AT61">
        <v>5</v>
      </c>
      <c r="AU61">
        <v>1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3</v>
      </c>
      <c r="BO61">
        <v>0</v>
      </c>
      <c r="BP61">
        <v>1</v>
      </c>
      <c r="BQ61">
        <v>4</v>
      </c>
      <c r="BR61">
        <v>2</v>
      </c>
      <c r="BS61">
        <v>2</v>
      </c>
      <c r="BT61">
        <v>4</v>
      </c>
      <c r="BU61">
        <v>2</v>
      </c>
      <c r="BV61">
        <v>2</v>
      </c>
      <c r="BW61">
        <v>1</v>
      </c>
      <c r="BX61">
        <v>1</v>
      </c>
      <c r="BY61">
        <v>1</v>
      </c>
      <c r="BZ61">
        <v>1</v>
      </c>
      <c r="CA61">
        <v>4</v>
      </c>
      <c r="CB61">
        <v>2</v>
      </c>
      <c r="CC61">
        <v>2</v>
      </c>
      <c r="CD61">
        <v>7</v>
      </c>
      <c r="CE61">
        <v>2</v>
      </c>
      <c r="CF61">
        <v>2</v>
      </c>
      <c r="CG61">
        <v>33</v>
      </c>
      <c r="CH61">
        <v>20</v>
      </c>
      <c r="CI61">
        <v>14</v>
      </c>
      <c r="CJ61">
        <v>12</v>
      </c>
      <c r="CK61">
        <v>13</v>
      </c>
      <c r="CL61">
        <v>30</v>
      </c>
      <c r="CM61">
        <v>23</v>
      </c>
      <c r="CN61">
        <v>17.5</v>
      </c>
      <c r="CO61">
        <v>12</v>
      </c>
      <c r="CP61" s="26">
        <v>12</v>
      </c>
      <c r="CQ61" s="20">
        <v>7</v>
      </c>
      <c r="CR61" s="24">
        <v>24.892857142857139</v>
      </c>
      <c r="CS61" s="24">
        <v>26.035714285714285</v>
      </c>
      <c r="CT61" s="24">
        <v>8.6785714285714288</v>
      </c>
      <c r="CU61" s="24">
        <v>467.14285714285717</v>
      </c>
      <c r="CV61" s="24">
        <v>318.57142857142856</v>
      </c>
      <c r="CW61" s="24">
        <v>68.571428571428569</v>
      </c>
      <c r="CX61" s="24">
        <v>66.253492385077237</v>
      </c>
      <c r="CY61" s="25">
        <v>100.71428571428571</v>
      </c>
      <c r="CZ61" s="20">
        <v>7</v>
      </c>
      <c r="DA61" s="24">
        <v>25.035714285714281</v>
      </c>
      <c r="DB61" s="24">
        <v>25.233333333333331</v>
      </c>
      <c r="DC61" s="24">
        <v>8.3642857142857139</v>
      </c>
      <c r="DD61" s="24">
        <v>8.4642857142857135</v>
      </c>
      <c r="DE61" s="24">
        <v>445.71428571428572</v>
      </c>
      <c r="DF61" s="24">
        <v>391</v>
      </c>
      <c r="DG61" s="24">
        <v>11.857142857142858</v>
      </c>
      <c r="DH61" s="24">
        <v>86.887142857142848</v>
      </c>
      <c r="DI61" s="24">
        <v>36.857142857142854</v>
      </c>
      <c r="DJ61" s="24">
        <v>87.819755323993988</v>
      </c>
      <c r="DK61" s="24">
        <v>92.512146110134111</v>
      </c>
      <c r="DL61" s="25">
        <v>88.644141942809213</v>
      </c>
      <c r="DM61" s="20">
        <v>7</v>
      </c>
      <c r="DN61" s="24">
        <v>24.428571428571427</v>
      </c>
      <c r="DO61" s="24">
        <v>24.809523809523807</v>
      </c>
      <c r="DP61" s="24">
        <v>7.7142857142857144</v>
      </c>
      <c r="DQ61" s="24">
        <v>437.14285714285717</v>
      </c>
      <c r="DR61" s="24">
        <v>409.28571428571428</v>
      </c>
      <c r="DS61" s="24">
        <v>22.857142857142858</v>
      </c>
      <c r="DT61" s="24">
        <v>93.240348170662926</v>
      </c>
      <c r="DU61" s="25">
        <v>5</v>
      </c>
      <c r="DV61" s="20">
        <v>7</v>
      </c>
      <c r="DW61" s="24">
        <v>24.4</v>
      </c>
      <c r="DX61" s="24">
        <v>24.656666666666666</v>
      </c>
      <c r="DY61" s="24">
        <v>7.7100000000000009</v>
      </c>
      <c r="DZ61" s="24">
        <v>7.9</v>
      </c>
      <c r="EA61" s="24">
        <v>450</v>
      </c>
      <c r="EB61" s="24">
        <v>386.2</v>
      </c>
      <c r="EC61" s="24">
        <v>386.2</v>
      </c>
      <c r="ED61" s="24">
        <v>86.112000000000009</v>
      </c>
      <c r="EE61" s="24">
        <v>37</v>
      </c>
      <c r="EF61" s="24">
        <v>87.671610068447507</v>
      </c>
      <c r="EG61" s="24">
        <v>93.47600324421073</v>
      </c>
      <c r="EH61" s="25">
        <v>84.060389124709971</v>
      </c>
      <c r="EJ61" s="24"/>
      <c r="EK61" s="24"/>
      <c r="EL61" s="24"/>
      <c r="EM61" s="24"/>
      <c r="EN61" s="24"/>
      <c r="EO61" s="24"/>
      <c r="EP61" s="24"/>
      <c r="EQ61" s="25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</row>
    <row r="62" spans="1:160" x14ac:dyDescent="0.25">
      <c r="A62">
        <v>4153</v>
      </c>
      <c r="B62">
        <v>1</v>
      </c>
      <c r="C62">
        <v>25</v>
      </c>
      <c r="D62" s="1">
        <v>1.75</v>
      </c>
      <c r="E62">
        <v>55</v>
      </c>
      <c r="F62">
        <v>17.96</v>
      </c>
      <c r="G62">
        <v>1</v>
      </c>
      <c r="H62">
        <v>13</v>
      </c>
      <c r="I62">
        <v>19</v>
      </c>
      <c r="J62">
        <v>1</v>
      </c>
      <c r="K62">
        <v>3</v>
      </c>
      <c r="L62">
        <v>3</v>
      </c>
      <c r="M62" s="1">
        <v>25.8</v>
      </c>
      <c r="N62">
        <v>24.73</v>
      </c>
      <c r="O62" s="1">
        <v>23</v>
      </c>
      <c r="P62" s="1">
        <v>-2.8</v>
      </c>
      <c r="Q62" s="1">
        <v>28</v>
      </c>
      <c r="R62" s="1">
        <v>2.2000000000000002</v>
      </c>
      <c r="S62" s="1">
        <v>22</v>
      </c>
      <c r="T62">
        <v>0</v>
      </c>
      <c r="U62">
        <v>1</v>
      </c>
      <c r="V62">
        <v>0</v>
      </c>
      <c r="W62">
        <v>3</v>
      </c>
      <c r="X62">
        <v>1</v>
      </c>
      <c r="Y62">
        <v>9</v>
      </c>
      <c r="Z62">
        <v>16</v>
      </c>
      <c r="AA62">
        <v>2</v>
      </c>
      <c r="AB62">
        <v>1</v>
      </c>
      <c r="AC62">
        <v>21</v>
      </c>
      <c r="AD62">
        <v>3</v>
      </c>
      <c r="AE62">
        <v>1</v>
      </c>
      <c r="AF62">
        <v>2</v>
      </c>
      <c r="AG62">
        <v>3</v>
      </c>
      <c r="AH62">
        <v>2</v>
      </c>
      <c r="AI62">
        <v>0</v>
      </c>
      <c r="AJ62">
        <v>0</v>
      </c>
      <c r="AK62">
        <v>2</v>
      </c>
      <c r="AL62">
        <v>10</v>
      </c>
      <c r="AM62">
        <v>2</v>
      </c>
      <c r="AN62">
        <v>9</v>
      </c>
      <c r="AO62">
        <v>6</v>
      </c>
      <c r="AP62">
        <v>4</v>
      </c>
      <c r="AQ62">
        <v>19</v>
      </c>
      <c r="AR62">
        <v>18</v>
      </c>
      <c r="AS62">
        <v>2</v>
      </c>
      <c r="AT62">
        <v>6</v>
      </c>
      <c r="AU62">
        <v>1</v>
      </c>
      <c r="AV62">
        <v>5</v>
      </c>
      <c r="AW62">
        <v>13</v>
      </c>
      <c r="AX62">
        <v>1</v>
      </c>
      <c r="AY62">
        <v>1</v>
      </c>
      <c r="AZ62">
        <v>13</v>
      </c>
      <c r="BA62">
        <v>2</v>
      </c>
      <c r="BB62">
        <v>2</v>
      </c>
      <c r="BC62">
        <v>2</v>
      </c>
      <c r="BD62">
        <v>1</v>
      </c>
      <c r="BE62">
        <v>0</v>
      </c>
      <c r="BF62">
        <v>1</v>
      </c>
      <c r="BG62">
        <v>0</v>
      </c>
      <c r="BH62">
        <v>2</v>
      </c>
      <c r="BI62">
        <v>8</v>
      </c>
      <c r="BJ62">
        <v>2</v>
      </c>
      <c r="BK62">
        <v>8</v>
      </c>
      <c r="BL62">
        <v>5</v>
      </c>
      <c r="BM62">
        <v>4</v>
      </c>
      <c r="BN62">
        <v>17</v>
      </c>
      <c r="BO62">
        <v>13</v>
      </c>
      <c r="BP62">
        <v>0</v>
      </c>
      <c r="BQ62">
        <v>6</v>
      </c>
      <c r="BR62">
        <v>2</v>
      </c>
      <c r="BS62">
        <v>2</v>
      </c>
      <c r="BT62">
        <v>6</v>
      </c>
      <c r="BU62">
        <v>2</v>
      </c>
      <c r="BV62">
        <v>2</v>
      </c>
      <c r="BW62">
        <v>4</v>
      </c>
      <c r="BX62">
        <v>2</v>
      </c>
      <c r="BY62">
        <v>2</v>
      </c>
      <c r="BZ62">
        <v>2</v>
      </c>
      <c r="CA62">
        <v>1</v>
      </c>
      <c r="CB62">
        <v>1</v>
      </c>
      <c r="CC62">
        <v>13</v>
      </c>
      <c r="CD62">
        <v>2</v>
      </c>
      <c r="CE62">
        <v>1</v>
      </c>
      <c r="CF62">
        <v>1</v>
      </c>
      <c r="CG62">
        <v>20</v>
      </c>
      <c r="CH62">
        <v>19</v>
      </c>
      <c r="CI62">
        <v>26</v>
      </c>
      <c r="CJ62">
        <v>22</v>
      </c>
      <c r="CK62">
        <v>25</v>
      </c>
      <c r="CL62">
        <v>18</v>
      </c>
      <c r="CM62">
        <v>20</v>
      </c>
      <c r="CN62">
        <v>23</v>
      </c>
      <c r="CO62">
        <v>26</v>
      </c>
      <c r="CP62" s="26">
        <v>23</v>
      </c>
      <c r="CQ62" s="20">
        <v>5</v>
      </c>
      <c r="CR62" s="24">
        <v>27.4</v>
      </c>
      <c r="CS62" s="24">
        <v>28.05</v>
      </c>
      <c r="CT62" s="24">
        <v>10.9</v>
      </c>
      <c r="CU62" s="24">
        <v>450</v>
      </c>
      <c r="CV62" s="24">
        <v>411</v>
      </c>
      <c r="CW62" s="24">
        <v>39</v>
      </c>
      <c r="CX62" s="24">
        <v>89.595110771581361</v>
      </c>
      <c r="CY62" s="25">
        <v>0</v>
      </c>
      <c r="CZ62" s="20">
        <v>5</v>
      </c>
      <c r="DA62" s="24">
        <v>28</v>
      </c>
      <c r="DB62" s="24">
        <v>28.186666666666667</v>
      </c>
      <c r="DC62" s="24">
        <v>11.02</v>
      </c>
      <c r="DD62" s="24">
        <v>11.1</v>
      </c>
      <c r="DE62" s="24">
        <v>426</v>
      </c>
      <c r="DF62" s="24">
        <v>392.2</v>
      </c>
      <c r="DG62" s="24">
        <v>11.2</v>
      </c>
      <c r="DH62" s="24">
        <v>91.47999999999999</v>
      </c>
      <c r="DI62" s="24">
        <v>17.8</v>
      </c>
      <c r="DJ62" s="24">
        <v>90.286414565826334</v>
      </c>
      <c r="DK62" s="24">
        <v>96.594117647058823</v>
      </c>
      <c r="DL62" s="25">
        <v>93.878571428571419</v>
      </c>
      <c r="DM62" s="20">
        <v>4</v>
      </c>
      <c r="DN62" s="24">
        <v>24.125</v>
      </c>
      <c r="DO62" s="24">
        <v>24.5625</v>
      </c>
      <c r="DP62" s="24">
        <v>7.75</v>
      </c>
      <c r="DQ62" s="24">
        <v>457.5</v>
      </c>
      <c r="DR62" s="24">
        <v>431.25</v>
      </c>
      <c r="DS62" s="24">
        <v>26.25</v>
      </c>
      <c r="DT62" s="24">
        <v>93.862179487179489</v>
      </c>
      <c r="DU62" s="25">
        <v>0</v>
      </c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5"/>
      <c r="EI62" s="20">
        <v>3</v>
      </c>
      <c r="EJ62" s="24">
        <v>23.5</v>
      </c>
      <c r="EK62" s="24">
        <v>24</v>
      </c>
      <c r="EL62" s="24">
        <v>6.333333333333333</v>
      </c>
      <c r="EM62" s="24">
        <v>410</v>
      </c>
      <c r="EN62" s="24">
        <v>380</v>
      </c>
      <c r="EO62" s="24">
        <v>30</v>
      </c>
      <c r="EP62" s="24">
        <v>92.649572649572647</v>
      </c>
      <c r="EQ62" s="25">
        <v>0</v>
      </c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</row>
    <row r="63" spans="1:160" x14ac:dyDescent="0.25">
      <c r="A63">
        <v>4157</v>
      </c>
      <c r="B63">
        <v>2</v>
      </c>
      <c r="C63">
        <v>25</v>
      </c>
      <c r="D63" s="1">
        <v>1.68</v>
      </c>
      <c r="E63">
        <v>60</v>
      </c>
      <c r="F63">
        <v>21.26</v>
      </c>
      <c r="G63">
        <v>2</v>
      </c>
      <c r="H63">
        <v>9</v>
      </c>
      <c r="I63">
        <v>27</v>
      </c>
      <c r="J63">
        <v>2</v>
      </c>
      <c r="K63">
        <v>1</v>
      </c>
      <c r="L63">
        <v>3</v>
      </c>
      <c r="M63" s="1">
        <v>21.47</v>
      </c>
      <c r="N63">
        <v>20.22</v>
      </c>
      <c r="O63" s="1">
        <v>21.5</v>
      </c>
      <c r="P63" s="1">
        <v>0.03</v>
      </c>
      <c r="Q63" s="1">
        <v>23.759999999999998</v>
      </c>
      <c r="R63" s="1">
        <v>2.29</v>
      </c>
      <c r="S63" s="1">
        <v>20.5</v>
      </c>
      <c r="T63">
        <v>0</v>
      </c>
      <c r="U63">
        <v>0</v>
      </c>
      <c r="V63">
        <v>1</v>
      </c>
      <c r="W63">
        <v>11</v>
      </c>
      <c r="X63">
        <v>2</v>
      </c>
      <c r="Y63">
        <v>4</v>
      </c>
      <c r="Z63">
        <v>5</v>
      </c>
      <c r="AA63">
        <v>1</v>
      </c>
      <c r="AB63">
        <v>1</v>
      </c>
      <c r="AC63">
        <v>7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0</v>
      </c>
      <c r="AK63">
        <v>1</v>
      </c>
      <c r="AL63">
        <v>5</v>
      </c>
      <c r="AM63">
        <v>1</v>
      </c>
      <c r="AN63">
        <v>7</v>
      </c>
      <c r="AO63">
        <v>3</v>
      </c>
      <c r="AP63">
        <v>3</v>
      </c>
      <c r="AQ63">
        <v>13</v>
      </c>
      <c r="AR63">
        <v>0</v>
      </c>
      <c r="AS63">
        <v>10</v>
      </c>
      <c r="AT63">
        <v>5</v>
      </c>
      <c r="AU63">
        <v>1</v>
      </c>
      <c r="AV63">
        <v>2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0</v>
      </c>
      <c r="BE63">
        <v>0</v>
      </c>
      <c r="BF63">
        <v>1</v>
      </c>
      <c r="BG63">
        <v>0</v>
      </c>
      <c r="BH63">
        <v>1</v>
      </c>
      <c r="BI63">
        <v>4</v>
      </c>
      <c r="BJ63">
        <v>1</v>
      </c>
      <c r="BK63">
        <v>2</v>
      </c>
      <c r="BL63">
        <v>3</v>
      </c>
      <c r="BM63">
        <v>3</v>
      </c>
      <c r="BN63">
        <v>8</v>
      </c>
      <c r="BO63">
        <v>0</v>
      </c>
      <c r="BP63">
        <v>4</v>
      </c>
      <c r="BQ63">
        <v>3</v>
      </c>
      <c r="BR63">
        <v>2</v>
      </c>
      <c r="BS63">
        <v>1</v>
      </c>
      <c r="BT63">
        <v>3</v>
      </c>
      <c r="BU63">
        <v>2</v>
      </c>
      <c r="BV63">
        <v>1</v>
      </c>
      <c r="BW63">
        <v>2</v>
      </c>
      <c r="BX63">
        <v>1</v>
      </c>
      <c r="BY63">
        <v>1</v>
      </c>
      <c r="BZ63">
        <v>1</v>
      </c>
      <c r="CA63">
        <v>3</v>
      </c>
      <c r="CB63">
        <v>2</v>
      </c>
      <c r="CC63">
        <v>6</v>
      </c>
      <c r="CD63">
        <v>6</v>
      </c>
      <c r="CE63">
        <v>2</v>
      </c>
      <c r="CF63">
        <v>2</v>
      </c>
      <c r="CG63">
        <v>26</v>
      </c>
      <c r="CH63">
        <v>16</v>
      </c>
      <c r="CI63">
        <v>20</v>
      </c>
      <c r="CJ63">
        <v>18</v>
      </c>
      <c r="CK63">
        <v>17</v>
      </c>
      <c r="CL63">
        <v>25</v>
      </c>
      <c r="CM63">
        <v>17</v>
      </c>
      <c r="CN63">
        <v>15</v>
      </c>
      <c r="CO63">
        <v>12</v>
      </c>
      <c r="CP63" s="26">
        <v>12</v>
      </c>
      <c r="CQ63" s="20">
        <v>7</v>
      </c>
      <c r="CR63" s="24">
        <v>23.764285714285712</v>
      </c>
      <c r="CS63" s="24">
        <v>24.097619047619045</v>
      </c>
      <c r="CT63" s="24">
        <v>7.6285714285714272</v>
      </c>
      <c r="CU63" s="24">
        <v>471.85714285714283</v>
      </c>
      <c r="CV63" s="24">
        <v>433.28571428571428</v>
      </c>
      <c r="CW63" s="24">
        <v>20</v>
      </c>
      <c r="CX63" s="24">
        <v>91.55118103770792</v>
      </c>
      <c r="CY63" s="25">
        <v>18.571428571428573</v>
      </c>
      <c r="CZ63" s="20">
        <v>7</v>
      </c>
      <c r="DA63" s="24">
        <v>23.764285714285712</v>
      </c>
      <c r="DB63" s="24">
        <v>24.25714285714286</v>
      </c>
      <c r="DC63" s="24">
        <v>7.4238095238095241</v>
      </c>
      <c r="DD63" s="24">
        <v>7.6285714285714272</v>
      </c>
      <c r="DE63" s="24">
        <v>471.85714285714283</v>
      </c>
      <c r="DF63" s="24">
        <v>401.28571428571428</v>
      </c>
      <c r="DG63" s="24">
        <v>29.571428571428573</v>
      </c>
      <c r="DH63" s="24">
        <v>84.11999999999999</v>
      </c>
      <c r="DI63" s="24">
        <v>28.714285714285715</v>
      </c>
      <c r="DJ63" s="24">
        <v>83.978051629191867</v>
      </c>
      <c r="DK63" s="24">
        <v>93.388728754057411</v>
      </c>
      <c r="DL63" s="25">
        <v>88.811512416764756</v>
      </c>
      <c r="DM63" s="20">
        <v>21</v>
      </c>
      <c r="DN63" s="24">
        <v>21.610317460317464</v>
      </c>
      <c r="DO63" s="24">
        <v>21.919841269841267</v>
      </c>
      <c r="DP63" s="24">
        <v>6.3031746031746039</v>
      </c>
      <c r="DQ63" s="24">
        <v>521.57142857142856</v>
      </c>
      <c r="DR63" s="24">
        <v>491.8095238095238</v>
      </c>
      <c r="DS63" s="24">
        <v>18.571428571428573</v>
      </c>
      <c r="DT63" s="24">
        <v>94.308489638026785</v>
      </c>
      <c r="DU63" s="25">
        <v>11.19047619047619</v>
      </c>
      <c r="DV63" s="20">
        <v>21</v>
      </c>
      <c r="DW63" s="24">
        <v>21.615833333333335</v>
      </c>
      <c r="DX63" s="24">
        <v>21.976666666666667</v>
      </c>
      <c r="DY63" s="24">
        <v>6.0958333333333332</v>
      </c>
      <c r="DZ63" s="24">
        <v>6.3016666666666659</v>
      </c>
      <c r="EA63" s="24">
        <v>521.15</v>
      </c>
      <c r="EB63" s="24">
        <v>451.45</v>
      </c>
      <c r="EC63" s="24">
        <v>451.45</v>
      </c>
      <c r="ED63" s="24">
        <v>86.650999999999996</v>
      </c>
      <c r="EE63" s="24">
        <v>35.700000000000003</v>
      </c>
      <c r="EF63" s="24">
        <v>87.223909162554818</v>
      </c>
      <c r="EG63" s="24">
        <v>92.67765407032276</v>
      </c>
      <c r="EH63" s="25">
        <v>89.650738927424953</v>
      </c>
      <c r="EI63" s="20">
        <v>21</v>
      </c>
      <c r="EJ63" s="24">
        <v>21.610317460317464</v>
      </c>
      <c r="EK63" s="24">
        <v>21.919841269841267</v>
      </c>
      <c r="EL63" s="24">
        <v>6.3031746031746039</v>
      </c>
      <c r="EM63" s="24">
        <v>521.57142857142856</v>
      </c>
      <c r="EN63" s="24">
        <v>491.8095238095238</v>
      </c>
      <c r="EO63" s="24">
        <v>18.571428571428573</v>
      </c>
      <c r="EP63" s="24">
        <v>94.308489638026785</v>
      </c>
      <c r="EQ63" s="25">
        <v>11.19047619047619</v>
      </c>
      <c r="ER63" s="20">
        <v>20</v>
      </c>
      <c r="ES63" s="24">
        <v>21.615833333333335</v>
      </c>
      <c r="ET63" s="24">
        <v>21.976666666666667</v>
      </c>
      <c r="EU63" s="24">
        <v>6.0958333333333332</v>
      </c>
      <c r="EV63" s="24">
        <v>6.3016666666666659</v>
      </c>
      <c r="EW63" s="24">
        <v>521.15</v>
      </c>
      <c r="EX63" s="24">
        <v>451.45</v>
      </c>
      <c r="EY63" s="24">
        <v>21.65</v>
      </c>
      <c r="EZ63" s="24">
        <v>86.650999999999996</v>
      </c>
      <c r="FA63" s="24">
        <v>35.700000000000003</v>
      </c>
      <c r="FB63" s="24">
        <v>87.223909162554818</v>
      </c>
      <c r="FC63" s="24">
        <v>92.67765407032276</v>
      </c>
      <c r="FD63" s="24">
        <v>89.650738927424953</v>
      </c>
    </row>
    <row r="64" spans="1:160" x14ac:dyDescent="0.25">
      <c r="A64">
        <v>4158</v>
      </c>
      <c r="B64">
        <v>2</v>
      </c>
      <c r="C64">
        <v>20</v>
      </c>
      <c r="D64" s="1">
        <v>1.64</v>
      </c>
      <c r="E64">
        <v>48</v>
      </c>
      <c r="F64">
        <v>17.850000000000001</v>
      </c>
      <c r="G64">
        <v>1</v>
      </c>
      <c r="H64">
        <v>11</v>
      </c>
      <c r="I64">
        <v>26</v>
      </c>
      <c r="J64">
        <v>2</v>
      </c>
      <c r="K64">
        <v>2</v>
      </c>
      <c r="L64">
        <v>3</v>
      </c>
      <c r="M64" s="1">
        <v>22.07</v>
      </c>
      <c r="O64" s="1">
        <v>22.5</v>
      </c>
      <c r="P64" s="1">
        <v>0.43</v>
      </c>
      <c r="Q64" s="1">
        <v>23.68</v>
      </c>
      <c r="R64" s="1">
        <v>1.61</v>
      </c>
      <c r="S64" s="1">
        <v>21.5</v>
      </c>
      <c r="T64">
        <v>0</v>
      </c>
      <c r="U64">
        <v>2</v>
      </c>
      <c r="V64">
        <v>0</v>
      </c>
      <c r="W64">
        <v>5</v>
      </c>
      <c r="X64">
        <v>1</v>
      </c>
      <c r="Y64">
        <v>0</v>
      </c>
      <c r="Z64">
        <v>5</v>
      </c>
      <c r="AA64">
        <v>1</v>
      </c>
      <c r="AB64">
        <v>1</v>
      </c>
      <c r="AC64">
        <v>9</v>
      </c>
      <c r="AD64">
        <v>2</v>
      </c>
      <c r="AE64">
        <v>1</v>
      </c>
      <c r="AF64">
        <v>2</v>
      </c>
      <c r="AG64">
        <v>0</v>
      </c>
      <c r="AH64">
        <v>0</v>
      </c>
      <c r="AI64">
        <v>1</v>
      </c>
      <c r="AJ64">
        <v>0</v>
      </c>
      <c r="AK64">
        <v>2</v>
      </c>
      <c r="AL64">
        <v>5</v>
      </c>
      <c r="AM64">
        <v>1</v>
      </c>
      <c r="AN64">
        <v>6</v>
      </c>
      <c r="AO64">
        <v>2</v>
      </c>
      <c r="AP64">
        <v>2</v>
      </c>
      <c r="AQ64">
        <v>10</v>
      </c>
      <c r="AR64">
        <v>2</v>
      </c>
      <c r="AS64">
        <v>15</v>
      </c>
      <c r="AT64">
        <v>3</v>
      </c>
      <c r="AU64">
        <v>1</v>
      </c>
      <c r="AV64">
        <v>3</v>
      </c>
      <c r="AW64">
        <v>1</v>
      </c>
      <c r="AX64">
        <v>1</v>
      </c>
      <c r="AY64">
        <v>1</v>
      </c>
      <c r="AZ64">
        <v>6</v>
      </c>
      <c r="BA64">
        <v>1</v>
      </c>
      <c r="BB64">
        <v>1</v>
      </c>
      <c r="BC64">
        <v>2</v>
      </c>
      <c r="BD64">
        <v>0</v>
      </c>
      <c r="BE64">
        <v>1</v>
      </c>
      <c r="BF64">
        <v>1</v>
      </c>
      <c r="BG64">
        <v>3</v>
      </c>
      <c r="BH64">
        <v>0</v>
      </c>
      <c r="BI64">
        <v>8</v>
      </c>
      <c r="BJ64">
        <v>2</v>
      </c>
      <c r="BK64">
        <v>3</v>
      </c>
      <c r="BL64">
        <v>1</v>
      </c>
      <c r="BM64">
        <v>1</v>
      </c>
      <c r="BN64">
        <v>5</v>
      </c>
      <c r="BO64">
        <v>5</v>
      </c>
      <c r="BP64">
        <v>5</v>
      </c>
      <c r="BQ64">
        <v>4</v>
      </c>
      <c r="BR64">
        <v>2</v>
      </c>
      <c r="BS64">
        <v>2</v>
      </c>
      <c r="BT64">
        <v>4</v>
      </c>
      <c r="BU64">
        <v>2</v>
      </c>
      <c r="BV64">
        <v>2</v>
      </c>
      <c r="BW64">
        <v>3</v>
      </c>
      <c r="BX64">
        <v>2</v>
      </c>
      <c r="BY64">
        <v>1</v>
      </c>
      <c r="BZ64">
        <v>2</v>
      </c>
      <c r="CA64">
        <v>3</v>
      </c>
      <c r="CB64">
        <v>1</v>
      </c>
      <c r="CC64">
        <v>5</v>
      </c>
      <c r="CD64">
        <v>3</v>
      </c>
      <c r="CE64">
        <v>1</v>
      </c>
      <c r="CF64">
        <v>1</v>
      </c>
      <c r="CG64">
        <v>18</v>
      </c>
      <c r="CH64">
        <v>22</v>
      </c>
      <c r="CI64">
        <v>16</v>
      </c>
      <c r="CJ64">
        <v>12</v>
      </c>
      <c r="CK64">
        <v>14</v>
      </c>
      <c r="CL64">
        <v>24</v>
      </c>
      <c r="CM64">
        <v>15</v>
      </c>
      <c r="CN64">
        <v>14</v>
      </c>
      <c r="CO64">
        <v>13</v>
      </c>
      <c r="CP64" s="26">
        <v>12</v>
      </c>
      <c r="CQ64" s="20">
        <v>7</v>
      </c>
      <c r="CR64" s="24">
        <v>23.678571428571427</v>
      </c>
      <c r="CS64" s="24">
        <v>24.023809523809522</v>
      </c>
      <c r="CT64" s="24">
        <v>8.4642857142857135</v>
      </c>
      <c r="CU64" s="24">
        <v>527.14285714285711</v>
      </c>
      <c r="CV64" s="24">
        <v>502.14285714285717</v>
      </c>
      <c r="CW64" s="24">
        <v>20.714285714285715</v>
      </c>
      <c r="CX64" s="24">
        <v>95.296560032990115</v>
      </c>
      <c r="CY64" s="25">
        <v>4.2857142857142856</v>
      </c>
      <c r="CZ64" s="20">
        <v>7</v>
      </c>
      <c r="DA64" s="24">
        <v>23.678571428571427</v>
      </c>
      <c r="DB64" s="24">
        <v>23.959523809523809</v>
      </c>
      <c r="DC64" s="24">
        <v>8.5809523809523807</v>
      </c>
      <c r="DD64" s="24">
        <v>8.6785714285714288</v>
      </c>
      <c r="DE64" s="24">
        <v>540</v>
      </c>
      <c r="DF64" s="24">
        <v>473.85714285714283</v>
      </c>
      <c r="DG64" s="24">
        <v>16.857142857142858</v>
      </c>
      <c r="DH64" s="24">
        <v>87.695714285714274</v>
      </c>
      <c r="DI64" s="24">
        <v>43.428571428571431</v>
      </c>
      <c r="DJ64" s="24">
        <v>85.295947756774424</v>
      </c>
      <c r="DK64" s="24">
        <v>92.018638642740271</v>
      </c>
      <c r="DL64" s="25">
        <v>90.768158416153796</v>
      </c>
      <c r="DM64" s="20">
        <v>20</v>
      </c>
      <c r="DN64" s="24">
        <v>23.074999999999999</v>
      </c>
      <c r="DO64" s="24">
        <v>23.570833333333333</v>
      </c>
      <c r="DP64" s="24">
        <v>8.4625000000000004</v>
      </c>
      <c r="DQ64" s="24">
        <v>563.25</v>
      </c>
      <c r="DR64" s="24">
        <v>517</v>
      </c>
      <c r="DS64" s="24">
        <v>29.75</v>
      </c>
      <c r="DT64" s="24">
        <v>91.460759599401229</v>
      </c>
      <c r="DU64" s="25">
        <v>16.5</v>
      </c>
      <c r="DV64" s="20">
        <v>20</v>
      </c>
      <c r="DW64" s="24">
        <v>23.074999999999999</v>
      </c>
      <c r="DX64" s="24">
        <v>23.539285714285715</v>
      </c>
      <c r="DY64" s="24">
        <v>8.2035714285714292</v>
      </c>
      <c r="DZ64" s="24">
        <v>8.4124999999999996</v>
      </c>
      <c r="EA64" s="24">
        <v>560.25</v>
      </c>
      <c r="EB64" s="24">
        <v>464.21428571428572</v>
      </c>
      <c r="EC64" s="24">
        <v>464.21428571428572</v>
      </c>
      <c r="ED64" s="24">
        <v>82.676428571428588</v>
      </c>
      <c r="EE64" s="24">
        <v>55.642857142857146</v>
      </c>
      <c r="EF64" s="24">
        <v>82.328065748044807</v>
      </c>
      <c r="EG64" s="24">
        <v>88.703170309245152</v>
      </c>
      <c r="EH64" s="25">
        <v>88.128492691534547</v>
      </c>
      <c r="EI64" s="20">
        <v>19</v>
      </c>
      <c r="EJ64" s="24">
        <v>23.026315789473685</v>
      </c>
      <c r="EK64" s="24">
        <v>23.535087719298247</v>
      </c>
      <c r="EL64" s="24">
        <v>8.3815789473684212</v>
      </c>
      <c r="EM64" s="24">
        <v>561.31578947368416</v>
      </c>
      <c r="EN64" s="24">
        <v>513.42105263157896</v>
      </c>
      <c r="EO64" s="24">
        <v>30.526315789473685</v>
      </c>
      <c r="EP64" s="24">
        <v>91.142904841474973</v>
      </c>
      <c r="EQ64" s="25">
        <v>17.368421052631579</v>
      </c>
      <c r="ER64" s="20">
        <v>19</v>
      </c>
      <c r="ES64" s="24">
        <v>23.026315789473685</v>
      </c>
      <c r="ET64" s="24">
        <v>23.539285714285715</v>
      </c>
      <c r="EU64" s="24">
        <v>8.2035714285714292</v>
      </c>
      <c r="EV64" s="24">
        <v>8.3289473684210531</v>
      </c>
      <c r="EW64" s="24">
        <v>558.15789473684208</v>
      </c>
      <c r="EX64" s="24">
        <v>464.21428571428572</v>
      </c>
      <c r="EY64" s="24">
        <v>32.357142857142854</v>
      </c>
      <c r="EZ64" s="24">
        <v>82.676428571428588</v>
      </c>
      <c r="FA64" s="24">
        <v>55.642857142857146</v>
      </c>
      <c r="FB64" s="24">
        <v>82.328065748044807</v>
      </c>
      <c r="FC64" s="24">
        <v>88.703170309245152</v>
      </c>
      <c r="FD64" s="24">
        <v>88.128492691534547</v>
      </c>
    </row>
    <row r="65" spans="1:160" x14ac:dyDescent="0.25">
      <c r="A65">
        <v>4160</v>
      </c>
      <c r="B65">
        <v>2</v>
      </c>
      <c r="C65">
        <v>37</v>
      </c>
      <c r="D65" s="1">
        <v>1.67</v>
      </c>
      <c r="E65">
        <v>98</v>
      </c>
      <c r="F65">
        <v>35.14</v>
      </c>
      <c r="G65">
        <v>2</v>
      </c>
      <c r="H65">
        <v>14</v>
      </c>
      <c r="I65">
        <v>21</v>
      </c>
      <c r="J65">
        <v>1</v>
      </c>
      <c r="K65">
        <v>2</v>
      </c>
      <c r="L65">
        <v>3</v>
      </c>
      <c r="M65" s="1">
        <v>25.15</v>
      </c>
      <c r="N65">
        <v>22.62</v>
      </c>
      <c r="O65" s="1">
        <v>22.5</v>
      </c>
      <c r="P65" s="1">
        <v>-2.65</v>
      </c>
      <c r="Q65" s="1">
        <v>25.639999999999997</v>
      </c>
      <c r="R65" s="1">
        <v>0.49</v>
      </c>
      <c r="S65" s="1">
        <v>21.5</v>
      </c>
      <c r="T65">
        <v>3</v>
      </c>
      <c r="U65">
        <v>2</v>
      </c>
      <c r="V65">
        <v>1</v>
      </c>
      <c r="W65">
        <v>2</v>
      </c>
      <c r="X65">
        <v>1</v>
      </c>
      <c r="Y65">
        <v>17</v>
      </c>
      <c r="Z65">
        <v>17</v>
      </c>
      <c r="AA65">
        <v>2</v>
      </c>
      <c r="AB65">
        <v>1</v>
      </c>
      <c r="AC65">
        <v>10</v>
      </c>
      <c r="AD65">
        <v>2</v>
      </c>
      <c r="AE65">
        <v>1</v>
      </c>
      <c r="AF65">
        <v>3</v>
      </c>
      <c r="AG65">
        <v>2</v>
      </c>
      <c r="AH65">
        <v>1</v>
      </c>
      <c r="AI65">
        <v>1</v>
      </c>
      <c r="AJ65">
        <v>0</v>
      </c>
      <c r="AK65">
        <v>1</v>
      </c>
      <c r="AL65">
        <v>9</v>
      </c>
      <c r="AM65">
        <v>2</v>
      </c>
      <c r="AN65">
        <v>4</v>
      </c>
      <c r="AO65">
        <v>2</v>
      </c>
      <c r="AP65">
        <v>8</v>
      </c>
      <c r="AQ65">
        <v>14</v>
      </c>
      <c r="AR65">
        <v>1</v>
      </c>
      <c r="AS65">
        <v>5</v>
      </c>
      <c r="AT65">
        <v>1</v>
      </c>
      <c r="AU65">
        <v>1</v>
      </c>
      <c r="AV65">
        <v>2</v>
      </c>
      <c r="AW65">
        <v>1</v>
      </c>
      <c r="AX65">
        <v>1</v>
      </c>
      <c r="AY65">
        <v>1</v>
      </c>
      <c r="AZ65">
        <v>2</v>
      </c>
      <c r="BA65">
        <v>1</v>
      </c>
      <c r="BB65">
        <v>0</v>
      </c>
      <c r="BC65">
        <v>2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3</v>
      </c>
      <c r="BJ65">
        <v>1</v>
      </c>
      <c r="BK65">
        <v>1</v>
      </c>
      <c r="BL65">
        <v>1</v>
      </c>
      <c r="BM65">
        <v>1</v>
      </c>
      <c r="BN65">
        <v>3</v>
      </c>
      <c r="BO65">
        <v>0</v>
      </c>
      <c r="BP65">
        <v>15</v>
      </c>
      <c r="BQ65">
        <v>4</v>
      </c>
      <c r="BR65">
        <v>2</v>
      </c>
      <c r="BS65">
        <v>2</v>
      </c>
      <c r="BT65">
        <v>4</v>
      </c>
      <c r="BU65">
        <v>2</v>
      </c>
      <c r="BV65">
        <v>2</v>
      </c>
      <c r="BW65">
        <v>1</v>
      </c>
      <c r="BX65">
        <v>1</v>
      </c>
      <c r="BY65">
        <v>1</v>
      </c>
      <c r="BZ65">
        <v>1</v>
      </c>
      <c r="CA65">
        <v>4</v>
      </c>
      <c r="CB65">
        <v>1</v>
      </c>
      <c r="CC65">
        <v>1</v>
      </c>
      <c r="CD65">
        <v>7</v>
      </c>
      <c r="CE65">
        <v>2</v>
      </c>
      <c r="CF65">
        <v>2</v>
      </c>
      <c r="CG65">
        <v>25</v>
      </c>
      <c r="CH65">
        <v>17</v>
      </c>
      <c r="CI65">
        <v>13</v>
      </c>
      <c r="CJ65">
        <v>11</v>
      </c>
      <c r="CK65">
        <v>10</v>
      </c>
      <c r="CL65">
        <v>21</v>
      </c>
      <c r="CM65">
        <v>11</v>
      </c>
      <c r="CN65">
        <v>11</v>
      </c>
      <c r="CO65">
        <v>10</v>
      </c>
      <c r="CP65" s="26">
        <v>10</v>
      </c>
      <c r="CQ65" s="20">
        <v>7</v>
      </c>
      <c r="CR65" s="24">
        <v>24.428571428571427</v>
      </c>
      <c r="CS65" s="24">
        <v>25.5</v>
      </c>
      <c r="CT65" s="24">
        <v>9.8809523809523796</v>
      </c>
      <c r="CU65" s="24">
        <v>567.14285714285711</v>
      </c>
      <c r="CV65" s="24">
        <v>494</v>
      </c>
      <c r="CW65" s="24">
        <v>64.285714285714292</v>
      </c>
      <c r="CX65" s="24">
        <v>87.158055378266226</v>
      </c>
      <c r="CY65" s="25">
        <v>8.8571428571428577</v>
      </c>
      <c r="CZ65" s="20">
        <v>7</v>
      </c>
      <c r="DA65" s="24">
        <v>25.642857142857142</v>
      </c>
      <c r="DB65" s="24">
        <v>26.280952380952382</v>
      </c>
      <c r="DC65" s="24">
        <v>9.5976190476190482</v>
      </c>
      <c r="DD65" s="24">
        <v>9.8809523809523796</v>
      </c>
      <c r="DE65" s="24">
        <v>494.28571428571428</v>
      </c>
      <c r="DF65" s="24">
        <v>373.85714285714283</v>
      </c>
      <c r="DG65" s="24">
        <v>38.285714285714285</v>
      </c>
      <c r="DH65" s="24">
        <v>75.811428571428578</v>
      </c>
      <c r="DI65" s="24">
        <v>65.142857142857139</v>
      </c>
      <c r="DJ65" s="24">
        <v>77.657915584195692</v>
      </c>
      <c r="DK65" s="24">
        <v>89.922065717478702</v>
      </c>
      <c r="DL65" s="25">
        <v>75.837071770288873</v>
      </c>
      <c r="DM65" s="20">
        <v>21</v>
      </c>
      <c r="DN65" s="24">
        <v>22.723809523809525</v>
      </c>
      <c r="DO65" s="24">
        <v>23.156349206349208</v>
      </c>
      <c r="DP65" s="24">
        <v>7.4865079365079366</v>
      </c>
      <c r="DQ65" s="24">
        <v>525.76190476190482</v>
      </c>
      <c r="DR65" s="24">
        <v>491.23809523809524</v>
      </c>
      <c r="DS65" s="24">
        <v>25.952380952380953</v>
      </c>
      <c r="DT65" s="24">
        <v>93.392152322353283</v>
      </c>
      <c r="DU65" s="25">
        <v>8.5714285714285712</v>
      </c>
      <c r="DV65" s="20">
        <v>21</v>
      </c>
      <c r="DW65" s="24">
        <v>22.723809523809525</v>
      </c>
      <c r="DX65" s="24">
        <v>23.010317460317463</v>
      </c>
      <c r="DY65" s="24">
        <v>7.083333333333333</v>
      </c>
      <c r="DZ65" s="24">
        <v>7.4865079365079366</v>
      </c>
      <c r="EA65" s="24">
        <v>525.76190476190482</v>
      </c>
      <c r="EB65" s="24">
        <v>429.1904761904762</v>
      </c>
      <c r="EC65" s="24">
        <v>429.1904761904762</v>
      </c>
      <c r="ED65" s="24">
        <v>81.759047619047621</v>
      </c>
      <c r="EE65" s="24">
        <v>55.19047619047619</v>
      </c>
      <c r="EF65" s="24">
        <v>82.566448144236148</v>
      </c>
      <c r="EG65" s="24">
        <v>88.549370265845596</v>
      </c>
      <c r="EH65" s="25">
        <v>85.33625960458248</v>
      </c>
      <c r="EI65" s="20">
        <v>21</v>
      </c>
      <c r="EJ65" s="24">
        <v>22.723809523809525</v>
      </c>
      <c r="EK65" s="24">
        <v>23.156349206349208</v>
      </c>
      <c r="EL65" s="24">
        <v>7.4865079365079366</v>
      </c>
      <c r="EM65" s="24">
        <v>525.76190476190482</v>
      </c>
      <c r="EN65" s="24">
        <v>491.23809523809524</v>
      </c>
      <c r="EO65" s="24">
        <v>25.952380952380953</v>
      </c>
      <c r="EP65" s="24">
        <v>93.392152322353283</v>
      </c>
      <c r="EQ65" s="25">
        <v>8.5714285714285712</v>
      </c>
      <c r="ER65" s="20">
        <v>21</v>
      </c>
      <c r="ES65" s="24">
        <v>22.723809523809525</v>
      </c>
      <c r="ET65" s="24">
        <v>23.010317460317463</v>
      </c>
      <c r="EU65" s="24">
        <v>7.083333333333333</v>
      </c>
      <c r="EV65" s="24">
        <v>7.4865079365079366</v>
      </c>
      <c r="EW65" s="24">
        <v>525.76190476190482</v>
      </c>
      <c r="EX65" s="24">
        <v>429.1904761904762</v>
      </c>
      <c r="EY65" s="24">
        <v>17.19047619047619</v>
      </c>
      <c r="EZ65" s="24">
        <v>81.759047619047621</v>
      </c>
      <c r="FA65" s="24">
        <v>55.19047619047619</v>
      </c>
      <c r="FB65" s="24">
        <v>82.566448144236148</v>
      </c>
      <c r="FC65" s="24">
        <v>88.549370265845596</v>
      </c>
      <c r="FD65" s="24">
        <v>85.33625960458248</v>
      </c>
    </row>
    <row r="66" spans="1:160" x14ac:dyDescent="0.25">
      <c r="A66">
        <v>4162</v>
      </c>
      <c r="B66">
        <v>2</v>
      </c>
      <c r="C66">
        <v>29</v>
      </c>
      <c r="D66" s="1">
        <v>1.78</v>
      </c>
      <c r="E66">
        <v>86</v>
      </c>
      <c r="F66">
        <v>27.14</v>
      </c>
      <c r="G66">
        <v>2</v>
      </c>
      <c r="H66">
        <v>14</v>
      </c>
      <c r="I66">
        <v>19</v>
      </c>
      <c r="J66">
        <v>1</v>
      </c>
      <c r="K66">
        <v>2</v>
      </c>
      <c r="L66">
        <v>3</v>
      </c>
      <c r="M66" s="1">
        <v>23.13</v>
      </c>
      <c r="N66">
        <v>22.13</v>
      </c>
      <c r="O66" s="1">
        <v>23.5</v>
      </c>
      <c r="P66" s="1">
        <v>0.37</v>
      </c>
      <c r="Q66" s="1">
        <v>25.83</v>
      </c>
      <c r="R66" s="1">
        <v>2.7</v>
      </c>
      <c r="S66" s="1">
        <v>22.5</v>
      </c>
      <c r="T66">
        <v>0</v>
      </c>
      <c r="U66">
        <v>3</v>
      </c>
      <c r="V66">
        <v>0</v>
      </c>
      <c r="W66">
        <v>4</v>
      </c>
      <c r="X66">
        <v>1</v>
      </c>
      <c r="Y66">
        <v>2</v>
      </c>
      <c r="Z66">
        <v>5</v>
      </c>
      <c r="AA66">
        <v>1</v>
      </c>
      <c r="AB66">
        <v>1</v>
      </c>
      <c r="AC66">
        <v>12</v>
      </c>
      <c r="AD66">
        <v>2</v>
      </c>
      <c r="AE66">
        <v>3</v>
      </c>
      <c r="AF66">
        <v>3</v>
      </c>
      <c r="AG66">
        <v>1</v>
      </c>
      <c r="AH66">
        <v>2</v>
      </c>
      <c r="AI66">
        <v>1</v>
      </c>
      <c r="AJ66">
        <v>0</v>
      </c>
      <c r="AK66">
        <v>2</v>
      </c>
      <c r="AL66">
        <v>12</v>
      </c>
      <c r="AM66">
        <v>2</v>
      </c>
      <c r="AN66">
        <v>6</v>
      </c>
      <c r="AO66">
        <v>4</v>
      </c>
      <c r="AP66">
        <v>2</v>
      </c>
      <c r="AQ66">
        <v>12</v>
      </c>
      <c r="AR66">
        <v>2</v>
      </c>
      <c r="AS66">
        <v>15</v>
      </c>
      <c r="AT66">
        <v>4</v>
      </c>
      <c r="AU66">
        <v>1</v>
      </c>
      <c r="AV66">
        <v>8</v>
      </c>
      <c r="AW66">
        <v>9</v>
      </c>
      <c r="AX66">
        <v>1</v>
      </c>
      <c r="AY66">
        <v>1</v>
      </c>
      <c r="AZ66">
        <v>8</v>
      </c>
      <c r="BA66">
        <v>2</v>
      </c>
      <c r="BB66">
        <v>2</v>
      </c>
      <c r="BC66">
        <v>3</v>
      </c>
      <c r="BD66">
        <v>2</v>
      </c>
      <c r="BE66">
        <v>3</v>
      </c>
      <c r="BF66">
        <v>1</v>
      </c>
      <c r="BG66">
        <v>0</v>
      </c>
      <c r="BH66">
        <v>2</v>
      </c>
      <c r="BI66">
        <v>13</v>
      </c>
      <c r="BJ66">
        <v>2</v>
      </c>
      <c r="BK66">
        <v>5</v>
      </c>
      <c r="BL66">
        <v>5</v>
      </c>
      <c r="BM66">
        <v>2</v>
      </c>
      <c r="BN66">
        <v>12</v>
      </c>
      <c r="BO66">
        <v>1</v>
      </c>
      <c r="BP66">
        <v>0</v>
      </c>
      <c r="BQ66">
        <v>4</v>
      </c>
      <c r="BR66">
        <v>2</v>
      </c>
      <c r="BS66">
        <v>2</v>
      </c>
      <c r="BT66">
        <v>4</v>
      </c>
      <c r="BU66">
        <v>2</v>
      </c>
      <c r="BV66">
        <v>2</v>
      </c>
      <c r="BW66">
        <v>5</v>
      </c>
      <c r="BX66">
        <v>2</v>
      </c>
      <c r="BY66">
        <v>2</v>
      </c>
      <c r="BZ66">
        <v>2</v>
      </c>
      <c r="CA66">
        <v>1</v>
      </c>
      <c r="CB66">
        <v>4</v>
      </c>
      <c r="CC66">
        <v>16</v>
      </c>
      <c r="CD66">
        <v>1</v>
      </c>
      <c r="CE66">
        <v>1</v>
      </c>
      <c r="CF66">
        <v>2</v>
      </c>
      <c r="CG66">
        <v>24</v>
      </c>
      <c r="CH66">
        <v>30</v>
      </c>
      <c r="CI66">
        <v>25</v>
      </c>
      <c r="CJ66">
        <v>28</v>
      </c>
      <c r="CK66">
        <v>13</v>
      </c>
      <c r="CL66">
        <v>30</v>
      </c>
      <c r="CM66">
        <v>33</v>
      </c>
      <c r="CN66">
        <v>25</v>
      </c>
      <c r="CO66">
        <v>28</v>
      </c>
      <c r="CP66" s="26">
        <v>12</v>
      </c>
      <c r="CQ66" s="20">
        <v>7</v>
      </c>
      <c r="CR66" s="24">
        <v>25.547619047619047</v>
      </c>
      <c r="CS66" s="24">
        <v>26.857142857142858</v>
      </c>
      <c r="CT66" s="24">
        <v>10.226190476190476</v>
      </c>
      <c r="CU66" s="24">
        <v>520.71428571428567</v>
      </c>
      <c r="CV66" s="24">
        <v>425.71428571428572</v>
      </c>
      <c r="CW66" s="24">
        <v>78.571428571428569</v>
      </c>
      <c r="CX66" s="24">
        <v>81.231403438623957</v>
      </c>
      <c r="CY66" s="25">
        <v>16.428571428571427</v>
      </c>
      <c r="CZ66" s="20">
        <v>7</v>
      </c>
      <c r="DA66" s="24">
        <v>25.833333333333336</v>
      </c>
      <c r="DB66" s="24">
        <v>26.12857142857143</v>
      </c>
      <c r="DC66" s="24">
        <v>9.9023809523809518</v>
      </c>
      <c r="DD66" s="24">
        <v>10.226190476190476</v>
      </c>
      <c r="DE66" s="24">
        <v>503.57142857142856</v>
      </c>
      <c r="DF66" s="24">
        <v>414.28571428571428</v>
      </c>
      <c r="DG66" s="24">
        <v>17.714285714285715</v>
      </c>
      <c r="DH66" s="24">
        <v>82.42</v>
      </c>
      <c r="DI66" s="24">
        <v>52.142857142857146</v>
      </c>
      <c r="DJ66" s="24">
        <v>84.686645716512984</v>
      </c>
      <c r="DK66" s="24">
        <v>88.354209139607377</v>
      </c>
      <c r="DL66" s="25">
        <v>87.128432094272426</v>
      </c>
      <c r="DM66" s="20">
        <v>19</v>
      </c>
      <c r="DN66" s="24">
        <v>23.671052631578949</v>
      </c>
      <c r="DO66" s="24">
        <v>24.986842105263158</v>
      </c>
      <c r="DP66" s="24">
        <v>8.2368421052631575</v>
      </c>
      <c r="DQ66" s="24">
        <v>513.9473684210526</v>
      </c>
      <c r="DR66" s="24">
        <v>429.16666666666669</v>
      </c>
      <c r="DS66" s="24">
        <v>83.333333333333329</v>
      </c>
      <c r="DT66" s="24">
        <v>81.616604590167555</v>
      </c>
      <c r="DU66" s="25">
        <v>7.8947368421052628</v>
      </c>
      <c r="DV66" s="20">
        <v>19</v>
      </c>
      <c r="DW66" s="24">
        <v>24.263888888888889</v>
      </c>
      <c r="DX66" s="24">
        <v>24.749074074074073</v>
      </c>
      <c r="DY66" s="24">
        <v>7.723148148148149</v>
      </c>
      <c r="DZ66" s="24">
        <v>8.0185185185185173</v>
      </c>
      <c r="EA66" s="24">
        <v>465.27777777777777</v>
      </c>
      <c r="EB66" s="24">
        <v>381.55555555555554</v>
      </c>
      <c r="EC66" s="24">
        <v>381.55555555555554</v>
      </c>
      <c r="ED66" s="24">
        <v>82.018333333333331</v>
      </c>
      <c r="EE66" s="24">
        <v>36.888888888888886</v>
      </c>
      <c r="EF66" s="24">
        <v>82.593088052498587</v>
      </c>
      <c r="EG66" s="24">
        <v>91.488128461450628</v>
      </c>
      <c r="EH66" s="25">
        <v>87.8463053045962</v>
      </c>
      <c r="EI66" s="20">
        <v>18</v>
      </c>
      <c r="EJ66" s="24">
        <v>23.569444444444443</v>
      </c>
      <c r="EK66" s="24">
        <v>24.930555555555557</v>
      </c>
      <c r="EL66" s="24">
        <v>8.1944444444444446</v>
      </c>
      <c r="EM66" s="24">
        <v>517.5</v>
      </c>
      <c r="EN66" s="24">
        <v>430</v>
      </c>
      <c r="EO66" s="24">
        <v>86.470588235294116</v>
      </c>
      <c r="EP66" s="24">
        <v>80.992744729458451</v>
      </c>
      <c r="EQ66" s="25">
        <v>8.0555555555555554</v>
      </c>
      <c r="ER66" s="20">
        <v>13</v>
      </c>
      <c r="ES66" s="24">
        <v>23.775641025641026</v>
      </c>
      <c r="ET66" s="24">
        <v>24.28717948717949</v>
      </c>
      <c r="EU66" s="24">
        <v>7.3589743589743595</v>
      </c>
      <c r="EV66" s="24">
        <v>7.698717948717948</v>
      </c>
      <c r="EW66" s="24">
        <v>475.38461538461536</v>
      </c>
      <c r="EX66" s="24">
        <v>387.61538461538464</v>
      </c>
      <c r="EY66" s="24">
        <v>30.692307692307693</v>
      </c>
      <c r="EZ66" s="24">
        <v>81.594615384615381</v>
      </c>
      <c r="FA66" s="24">
        <v>36.692307692307693</v>
      </c>
      <c r="FB66" s="24">
        <v>80.695553819771703</v>
      </c>
      <c r="FC66" s="24">
        <v>93.287205402175971</v>
      </c>
      <c r="FD66" s="24">
        <v>87.294116281873812</v>
      </c>
    </row>
    <row r="67" spans="1:160" x14ac:dyDescent="0.25">
      <c r="A67">
        <v>4163</v>
      </c>
      <c r="B67">
        <v>1</v>
      </c>
      <c r="C67">
        <v>26</v>
      </c>
      <c r="D67" s="1">
        <v>1.8</v>
      </c>
      <c r="E67">
        <v>70</v>
      </c>
      <c r="F67">
        <v>21.6</v>
      </c>
      <c r="G67">
        <v>1</v>
      </c>
      <c r="H67">
        <v>12</v>
      </c>
      <c r="I67">
        <v>26</v>
      </c>
      <c r="J67">
        <v>2</v>
      </c>
      <c r="K67">
        <v>2</v>
      </c>
      <c r="L67">
        <v>3</v>
      </c>
      <c r="M67" s="1">
        <v>24.1</v>
      </c>
      <c r="N67">
        <v>26.62</v>
      </c>
      <c r="O67" s="1">
        <v>22</v>
      </c>
      <c r="P67" s="1">
        <v>-2.1</v>
      </c>
      <c r="Q67" s="1">
        <v>25.39</v>
      </c>
      <c r="R67" s="1">
        <v>1.29</v>
      </c>
      <c r="S67" s="1">
        <v>21</v>
      </c>
      <c r="T67">
        <v>0</v>
      </c>
      <c r="U67">
        <v>1</v>
      </c>
      <c r="V67">
        <v>0</v>
      </c>
      <c r="W67">
        <v>10</v>
      </c>
      <c r="X67">
        <v>2</v>
      </c>
      <c r="Y67">
        <v>0</v>
      </c>
      <c r="Z67">
        <v>15</v>
      </c>
      <c r="AA67">
        <v>2</v>
      </c>
      <c r="AB67">
        <v>1</v>
      </c>
      <c r="AC67">
        <v>16</v>
      </c>
      <c r="AD67">
        <v>3</v>
      </c>
      <c r="AE67">
        <v>2</v>
      </c>
      <c r="AF67">
        <v>3</v>
      </c>
      <c r="AG67">
        <v>2</v>
      </c>
      <c r="AH67">
        <v>3</v>
      </c>
      <c r="AI67">
        <v>1</v>
      </c>
      <c r="AJ67">
        <v>1</v>
      </c>
      <c r="AK67">
        <v>1</v>
      </c>
      <c r="AL67">
        <v>13</v>
      </c>
      <c r="AM67">
        <v>2</v>
      </c>
      <c r="AN67">
        <v>8</v>
      </c>
      <c r="AO67">
        <v>3</v>
      </c>
      <c r="AP67">
        <v>3</v>
      </c>
      <c r="AQ67">
        <v>14</v>
      </c>
      <c r="AR67">
        <v>9</v>
      </c>
      <c r="AS67">
        <v>15</v>
      </c>
      <c r="AT67">
        <v>8</v>
      </c>
      <c r="AU67">
        <v>1</v>
      </c>
      <c r="AV67">
        <v>0</v>
      </c>
      <c r="AW67">
        <v>8</v>
      </c>
      <c r="AX67">
        <v>1</v>
      </c>
      <c r="AY67">
        <v>1</v>
      </c>
      <c r="AZ67">
        <v>18</v>
      </c>
      <c r="BA67">
        <v>3</v>
      </c>
      <c r="BB67">
        <v>2</v>
      </c>
      <c r="BC67">
        <v>3</v>
      </c>
      <c r="BD67">
        <v>3</v>
      </c>
      <c r="BE67">
        <v>3</v>
      </c>
      <c r="BF67">
        <v>1</v>
      </c>
      <c r="BG67">
        <v>0</v>
      </c>
      <c r="BH67">
        <v>1</v>
      </c>
      <c r="BI67">
        <v>13</v>
      </c>
      <c r="BJ67">
        <v>2</v>
      </c>
      <c r="BK67">
        <v>8</v>
      </c>
      <c r="BL67">
        <v>3</v>
      </c>
      <c r="BM67">
        <v>4</v>
      </c>
      <c r="BN67">
        <v>15</v>
      </c>
      <c r="BO67">
        <v>10</v>
      </c>
      <c r="BP67">
        <v>15</v>
      </c>
      <c r="BQ67">
        <v>4</v>
      </c>
      <c r="BR67">
        <v>2</v>
      </c>
      <c r="BS67">
        <v>2</v>
      </c>
      <c r="BT67">
        <v>4</v>
      </c>
      <c r="BU67">
        <v>2</v>
      </c>
      <c r="BV67">
        <v>2</v>
      </c>
      <c r="BW67">
        <v>5</v>
      </c>
      <c r="BX67">
        <v>2</v>
      </c>
      <c r="BY67">
        <v>2</v>
      </c>
      <c r="BZ67">
        <v>2</v>
      </c>
      <c r="CA67">
        <v>1</v>
      </c>
      <c r="CB67">
        <v>1</v>
      </c>
      <c r="CC67">
        <v>13</v>
      </c>
      <c r="CD67">
        <v>1</v>
      </c>
      <c r="CE67">
        <v>1</v>
      </c>
      <c r="CF67">
        <v>1</v>
      </c>
      <c r="CG67">
        <v>25</v>
      </c>
      <c r="CH67">
        <v>29</v>
      </c>
      <c r="CI67">
        <v>26</v>
      </c>
      <c r="CJ67">
        <v>28</v>
      </c>
      <c r="CK67">
        <v>24</v>
      </c>
      <c r="CL67">
        <v>35</v>
      </c>
      <c r="CM67">
        <v>29</v>
      </c>
      <c r="CN67">
        <v>33</v>
      </c>
      <c r="CO67">
        <v>28</v>
      </c>
      <c r="CP67" s="26">
        <v>36</v>
      </c>
      <c r="CQ67" s="20">
        <v>6</v>
      </c>
      <c r="CR67" s="24">
        <v>24.388888888888886</v>
      </c>
      <c r="CS67" s="24">
        <v>24.666666666666668</v>
      </c>
      <c r="CT67" s="24">
        <v>8.8333333333333339</v>
      </c>
      <c r="CU67" s="24">
        <v>506.66666666666669</v>
      </c>
      <c r="CV67" s="24">
        <v>419.16666666666669</v>
      </c>
      <c r="CW67" s="24">
        <v>16.666666666666668</v>
      </c>
      <c r="CX67" s="24">
        <v>83.254640235987509</v>
      </c>
      <c r="CY67" s="25">
        <v>70.833333333333329</v>
      </c>
      <c r="CZ67" s="20">
        <v>6</v>
      </c>
      <c r="DA67" s="24">
        <v>25.388888888888886</v>
      </c>
      <c r="DB67" s="24">
        <v>25.788888888888891</v>
      </c>
      <c r="DC67" s="24">
        <v>9.2138888888888886</v>
      </c>
      <c r="DD67" s="24">
        <v>9.4166666666666661</v>
      </c>
      <c r="DE67" s="24">
        <v>481.66666666666669</v>
      </c>
      <c r="DF67" s="24">
        <v>326.39999999999998</v>
      </c>
      <c r="DG67" s="24">
        <v>28.2</v>
      </c>
      <c r="DH67" s="24">
        <v>80.122</v>
      </c>
      <c r="DI67" s="24">
        <v>39.6</v>
      </c>
      <c r="DJ67" s="24">
        <v>84.118007785420986</v>
      </c>
      <c r="DK67" s="24">
        <v>86.738579605040968</v>
      </c>
      <c r="DL67" s="25">
        <v>85.88854054559917</v>
      </c>
      <c r="DN67" s="24"/>
      <c r="DO67" s="24"/>
      <c r="DP67" s="24"/>
      <c r="DQ67" s="24"/>
      <c r="DR67" s="24"/>
      <c r="DS67" s="24"/>
      <c r="DT67" s="24"/>
      <c r="DU67" s="25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5"/>
      <c r="EJ67" s="24"/>
      <c r="EK67" s="24"/>
      <c r="EL67" s="24"/>
      <c r="EM67" s="24"/>
      <c r="EN67" s="24"/>
      <c r="EO67" s="24"/>
      <c r="EP67" s="24"/>
      <c r="EQ67" s="25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</row>
    <row r="68" spans="1:160" x14ac:dyDescent="0.25">
      <c r="A68">
        <v>4165</v>
      </c>
      <c r="B68">
        <v>1</v>
      </c>
      <c r="C68">
        <v>23</v>
      </c>
      <c r="D68" s="1">
        <v>1.84</v>
      </c>
      <c r="E68">
        <v>76</v>
      </c>
      <c r="F68">
        <v>22.45</v>
      </c>
      <c r="G68">
        <v>2</v>
      </c>
      <c r="H68">
        <v>14</v>
      </c>
      <c r="I68">
        <v>26</v>
      </c>
      <c r="J68">
        <v>2</v>
      </c>
      <c r="K68">
        <v>2</v>
      </c>
      <c r="L68">
        <v>3</v>
      </c>
      <c r="M68" s="1">
        <v>23.43</v>
      </c>
      <c r="O68" s="1">
        <v>22</v>
      </c>
      <c r="P68" s="1">
        <v>-1.43</v>
      </c>
      <c r="Q68" s="1">
        <v>24.18</v>
      </c>
      <c r="R68" s="1">
        <v>0.75</v>
      </c>
      <c r="S68" s="1">
        <v>21</v>
      </c>
      <c r="T68">
        <v>0</v>
      </c>
      <c r="U68">
        <v>2</v>
      </c>
      <c r="V68">
        <v>0</v>
      </c>
      <c r="W68">
        <v>3</v>
      </c>
      <c r="X68">
        <v>1</v>
      </c>
      <c r="Y68">
        <v>12</v>
      </c>
      <c r="Z68">
        <v>3</v>
      </c>
      <c r="AA68">
        <v>1</v>
      </c>
      <c r="AB68">
        <v>1</v>
      </c>
      <c r="AC68">
        <v>15</v>
      </c>
      <c r="AD68">
        <v>3</v>
      </c>
      <c r="AE68">
        <v>3</v>
      </c>
      <c r="AF68">
        <v>3</v>
      </c>
      <c r="AG68">
        <v>0</v>
      </c>
      <c r="AH68">
        <v>2</v>
      </c>
      <c r="AI68">
        <v>1</v>
      </c>
      <c r="AJ68">
        <v>0</v>
      </c>
      <c r="AK68">
        <v>1</v>
      </c>
      <c r="AL68">
        <v>10</v>
      </c>
      <c r="AM68">
        <v>2</v>
      </c>
      <c r="AN68">
        <v>6</v>
      </c>
      <c r="AO68">
        <v>3</v>
      </c>
      <c r="AP68">
        <v>2</v>
      </c>
      <c r="AQ68">
        <v>11</v>
      </c>
      <c r="AR68">
        <v>0</v>
      </c>
      <c r="AS68">
        <v>10</v>
      </c>
      <c r="AT68">
        <v>4</v>
      </c>
      <c r="AU68">
        <v>1</v>
      </c>
      <c r="AV68">
        <v>6</v>
      </c>
      <c r="AW68">
        <v>1</v>
      </c>
      <c r="AX68">
        <v>1</v>
      </c>
      <c r="AY68">
        <v>1</v>
      </c>
      <c r="AZ68">
        <v>3</v>
      </c>
      <c r="BA68">
        <v>1</v>
      </c>
      <c r="BB68">
        <v>1</v>
      </c>
      <c r="BC68">
        <v>2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4</v>
      </c>
      <c r="BJ68">
        <v>1</v>
      </c>
      <c r="BK68">
        <v>2</v>
      </c>
      <c r="BL68">
        <v>1</v>
      </c>
      <c r="BM68">
        <v>1</v>
      </c>
      <c r="BN68">
        <v>4</v>
      </c>
      <c r="BO68">
        <v>0</v>
      </c>
      <c r="BP68">
        <v>0</v>
      </c>
      <c r="BQ68">
        <v>4</v>
      </c>
      <c r="BR68">
        <v>2</v>
      </c>
      <c r="BS68">
        <v>2</v>
      </c>
      <c r="BT68">
        <v>4</v>
      </c>
      <c r="BU68">
        <v>2</v>
      </c>
      <c r="BV68">
        <v>2</v>
      </c>
      <c r="BW68">
        <v>2</v>
      </c>
      <c r="BX68">
        <v>1</v>
      </c>
      <c r="BY68">
        <v>1</v>
      </c>
      <c r="BZ68">
        <v>1</v>
      </c>
      <c r="CA68">
        <v>3</v>
      </c>
      <c r="CB68">
        <v>1</v>
      </c>
      <c r="CC68">
        <v>5</v>
      </c>
      <c r="CD68">
        <v>5</v>
      </c>
      <c r="CE68">
        <v>2</v>
      </c>
      <c r="CF68">
        <v>2</v>
      </c>
      <c r="CG68">
        <v>33</v>
      </c>
      <c r="CH68">
        <v>21</v>
      </c>
      <c r="CI68">
        <v>17</v>
      </c>
      <c r="CJ68">
        <v>14</v>
      </c>
      <c r="CK68">
        <v>15</v>
      </c>
      <c r="CL68">
        <v>22</v>
      </c>
      <c r="CM68">
        <v>19</v>
      </c>
      <c r="CN68">
        <v>13</v>
      </c>
      <c r="CO68">
        <v>13</v>
      </c>
      <c r="CP68" s="26">
        <v>12</v>
      </c>
      <c r="CQ68" s="20">
        <v>7</v>
      </c>
      <c r="CR68" s="24">
        <v>24.035714285714285</v>
      </c>
      <c r="CS68" s="24">
        <v>24.928571428571427</v>
      </c>
      <c r="CT68" s="24">
        <v>9.7857142857142865</v>
      </c>
      <c r="CU68" s="24">
        <v>585</v>
      </c>
      <c r="CV68" s="24">
        <v>487.85714285714283</v>
      </c>
      <c r="CW68" s="24">
        <v>53.571428571428569</v>
      </c>
      <c r="CX68" s="24">
        <v>83.655695278720131</v>
      </c>
      <c r="CY68" s="25">
        <v>43.571428571428569</v>
      </c>
      <c r="CZ68" s="20">
        <v>7</v>
      </c>
      <c r="DA68" s="24">
        <v>24.178571428571427</v>
      </c>
      <c r="DB68" s="24">
        <v>25.152380952380952</v>
      </c>
      <c r="DC68" s="24">
        <v>9.3833333333333311</v>
      </c>
      <c r="DD68" s="24">
        <v>9.7857142857142865</v>
      </c>
      <c r="DE68" s="24">
        <v>576.42857142857144</v>
      </c>
      <c r="DF68" s="24">
        <v>377.85714285714283</v>
      </c>
      <c r="DG68" s="24">
        <v>58.428571428571431</v>
      </c>
      <c r="DH68" s="24">
        <v>65.101428571428571</v>
      </c>
      <c r="DI68" s="24">
        <v>116</v>
      </c>
      <c r="DJ68" s="24">
        <v>64.001873088739856</v>
      </c>
      <c r="DK68" s="24">
        <v>72.019471165450938</v>
      </c>
      <c r="DL68" s="25">
        <v>77.730805889022818</v>
      </c>
      <c r="DM68" s="20">
        <v>15</v>
      </c>
      <c r="DN68" s="24">
        <v>22.75</v>
      </c>
      <c r="DO68" s="24">
        <v>23.383333333333333</v>
      </c>
      <c r="DP68" s="24">
        <v>8.0166666666666657</v>
      </c>
      <c r="DQ68" s="24">
        <v>556</v>
      </c>
      <c r="DR68" s="24">
        <v>468.33333333333331</v>
      </c>
      <c r="DS68" s="24">
        <v>38</v>
      </c>
      <c r="DT68" s="24">
        <v>84.218547509166697</v>
      </c>
      <c r="DU68" s="25">
        <v>49.666666666666664</v>
      </c>
      <c r="DV68" s="20">
        <v>15</v>
      </c>
      <c r="DW68" s="24">
        <v>22.75</v>
      </c>
      <c r="DX68" s="24">
        <v>23.347777777777782</v>
      </c>
      <c r="DY68" s="24">
        <v>7.2877777777777775</v>
      </c>
      <c r="DZ68" s="24">
        <v>8.0166666666666657</v>
      </c>
      <c r="EA68" s="24">
        <v>556</v>
      </c>
      <c r="EB68" s="24">
        <v>370.06666666666666</v>
      </c>
      <c r="EC68" s="24">
        <v>370.06666666666666</v>
      </c>
      <c r="ED68" s="24">
        <v>66.49666666666667</v>
      </c>
      <c r="EE68" s="24">
        <v>106.33333333333333</v>
      </c>
      <c r="EF68" s="24">
        <v>72.760503827745481</v>
      </c>
      <c r="EG68" s="24">
        <v>72.836557623302525</v>
      </c>
      <c r="EH68" s="25">
        <v>73.35091109012032</v>
      </c>
      <c r="EI68" s="20">
        <v>15</v>
      </c>
      <c r="EJ68" s="24">
        <v>22.75</v>
      </c>
      <c r="EK68" s="24">
        <v>23.383333333333333</v>
      </c>
      <c r="EL68" s="24">
        <v>8.0166666666666657</v>
      </c>
      <c r="EM68" s="24">
        <v>556</v>
      </c>
      <c r="EN68" s="24">
        <v>468.33333333333331</v>
      </c>
      <c r="EO68" s="24">
        <v>38</v>
      </c>
      <c r="EP68" s="24">
        <v>84.218547509166697</v>
      </c>
      <c r="EQ68" s="25">
        <v>49.666666666666664</v>
      </c>
      <c r="ER68" s="20">
        <v>15</v>
      </c>
      <c r="ES68" s="24">
        <v>22.75</v>
      </c>
      <c r="ET68" s="24">
        <v>23.347777777777782</v>
      </c>
      <c r="EU68" s="24">
        <v>7.2877777777777775</v>
      </c>
      <c r="EV68" s="24">
        <v>8.0166666666666657</v>
      </c>
      <c r="EW68" s="24">
        <v>556</v>
      </c>
      <c r="EX68" s="24">
        <v>370.06666666666666</v>
      </c>
      <c r="EY68" s="24">
        <v>35.866666666666667</v>
      </c>
      <c r="EZ68" s="24">
        <v>66.49666666666667</v>
      </c>
      <c r="FA68" s="24">
        <v>106.33333333333333</v>
      </c>
      <c r="FB68" s="24">
        <v>72.760503827745481</v>
      </c>
      <c r="FC68" s="24">
        <v>72.836557623302525</v>
      </c>
      <c r="FD68" s="24">
        <v>73.35091109012032</v>
      </c>
    </row>
    <row r="69" spans="1:160" x14ac:dyDescent="0.25">
      <c r="A69">
        <v>4167</v>
      </c>
      <c r="B69">
        <v>1</v>
      </c>
      <c r="C69">
        <v>34</v>
      </c>
      <c r="D69" s="1">
        <v>1.8</v>
      </c>
      <c r="E69">
        <v>109</v>
      </c>
      <c r="F69">
        <v>33.64</v>
      </c>
      <c r="G69">
        <v>2</v>
      </c>
      <c r="H69">
        <v>13</v>
      </c>
      <c r="I69">
        <v>27</v>
      </c>
      <c r="J69">
        <v>2</v>
      </c>
      <c r="K69">
        <v>2</v>
      </c>
      <c r="L69">
        <v>3</v>
      </c>
      <c r="M69" s="1">
        <v>21.68</v>
      </c>
      <c r="N69">
        <v>21.42</v>
      </c>
      <c r="O69" s="1">
        <v>22</v>
      </c>
      <c r="P69" s="1">
        <v>0.32</v>
      </c>
      <c r="Q69" s="1">
        <v>23.53</v>
      </c>
      <c r="R69" s="1">
        <v>1.85</v>
      </c>
      <c r="S69" s="1">
        <v>21</v>
      </c>
      <c r="T69">
        <v>0</v>
      </c>
      <c r="U69">
        <v>2</v>
      </c>
      <c r="V69">
        <v>1</v>
      </c>
      <c r="W69">
        <v>4</v>
      </c>
      <c r="X69">
        <v>1</v>
      </c>
      <c r="Y69">
        <v>7</v>
      </c>
      <c r="Z69">
        <v>8</v>
      </c>
      <c r="AA69">
        <v>1</v>
      </c>
      <c r="AB69">
        <v>1</v>
      </c>
      <c r="AC69">
        <v>19</v>
      </c>
      <c r="AD69">
        <v>3</v>
      </c>
      <c r="AE69">
        <v>2</v>
      </c>
      <c r="AF69">
        <v>3</v>
      </c>
      <c r="AG69">
        <v>2</v>
      </c>
      <c r="AH69">
        <v>3</v>
      </c>
      <c r="AI69">
        <v>1</v>
      </c>
      <c r="AJ69">
        <v>0</v>
      </c>
      <c r="AK69">
        <v>1</v>
      </c>
      <c r="AL69">
        <v>12</v>
      </c>
      <c r="AM69">
        <v>2</v>
      </c>
      <c r="AN69">
        <v>5</v>
      </c>
      <c r="AO69">
        <v>6</v>
      </c>
      <c r="AP69">
        <v>5</v>
      </c>
      <c r="AQ69">
        <v>16</v>
      </c>
      <c r="AR69">
        <v>0</v>
      </c>
      <c r="AS69">
        <v>3</v>
      </c>
      <c r="AT69">
        <v>3</v>
      </c>
      <c r="AU69">
        <v>1</v>
      </c>
      <c r="AV69">
        <v>0</v>
      </c>
      <c r="AW69">
        <v>5</v>
      </c>
      <c r="AX69">
        <v>1</v>
      </c>
      <c r="AY69">
        <v>1</v>
      </c>
      <c r="AZ69">
        <v>7</v>
      </c>
      <c r="BA69">
        <v>1</v>
      </c>
      <c r="BB69">
        <v>1</v>
      </c>
      <c r="BC69">
        <v>2</v>
      </c>
      <c r="BD69">
        <v>1</v>
      </c>
      <c r="BE69">
        <v>1</v>
      </c>
      <c r="BF69">
        <v>1</v>
      </c>
      <c r="BG69">
        <v>0</v>
      </c>
      <c r="BH69">
        <v>1</v>
      </c>
      <c r="BI69">
        <v>7</v>
      </c>
      <c r="BJ69">
        <v>2</v>
      </c>
      <c r="BK69">
        <v>1</v>
      </c>
      <c r="BL69">
        <v>1</v>
      </c>
      <c r="BM69">
        <v>1</v>
      </c>
      <c r="BN69">
        <v>3</v>
      </c>
      <c r="BO69">
        <v>0</v>
      </c>
      <c r="BP69">
        <v>0</v>
      </c>
      <c r="BQ69">
        <v>4</v>
      </c>
      <c r="BR69">
        <v>2</v>
      </c>
      <c r="BS69">
        <v>2</v>
      </c>
      <c r="BT69">
        <v>4</v>
      </c>
      <c r="BU69">
        <v>2</v>
      </c>
      <c r="BV69">
        <v>2</v>
      </c>
      <c r="BW69">
        <v>2</v>
      </c>
      <c r="BX69">
        <v>1</v>
      </c>
      <c r="BY69">
        <v>1</v>
      </c>
      <c r="BZ69">
        <v>1</v>
      </c>
      <c r="CA69">
        <v>3</v>
      </c>
      <c r="CB69">
        <v>2</v>
      </c>
      <c r="CC69">
        <v>6</v>
      </c>
      <c r="CD69">
        <v>5</v>
      </c>
      <c r="CE69">
        <v>2</v>
      </c>
      <c r="CF69">
        <v>2</v>
      </c>
      <c r="CG69">
        <v>34</v>
      </c>
      <c r="CH69">
        <v>23</v>
      </c>
      <c r="CI69">
        <v>26</v>
      </c>
      <c r="CJ69">
        <v>22</v>
      </c>
      <c r="CK69">
        <v>26</v>
      </c>
      <c r="CL69">
        <v>21</v>
      </c>
      <c r="CM69">
        <v>12</v>
      </c>
      <c r="CN69">
        <v>17</v>
      </c>
      <c r="CO69">
        <v>12</v>
      </c>
      <c r="CP69" s="26">
        <v>12</v>
      </c>
      <c r="CQ69" s="20">
        <v>7</v>
      </c>
      <c r="CR69" s="24">
        <v>23.528571428571432</v>
      </c>
      <c r="CS69" s="24">
        <v>25.814285714285717</v>
      </c>
      <c r="CT69" s="24">
        <v>7.8809523809523805</v>
      </c>
      <c r="CU69" s="24">
        <v>501.14285714285717</v>
      </c>
      <c r="CV69" s="24">
        <v>326.85714285714283</v>
      </c>
      <c r="CW69" s="24">
        <v>137.14285714285714</v>
      </c>
      <c r="CX69" s="24">
        <v>65.952296380867807</v>
      </c>
      <c r="CY69" s="25">
        <v>37.142857142857146</v>
      </c>
      <c r="CZ69" s="20">
        <v>7</v>
      </c>
      <c r="DA69" s="24">
        <v>23.526190476190482</v>
      </c>
      <c r="DB69" s="24">
        <v>23.640476190476193</v>
      </c>
      <c r="DC69" s="24">
        <v>7.6642857142857155</v>
      </c>
      <c r="DD69" s="24">
        <v>7.8809523809523805</v>
      </c>
      <c r="DE69" s="24">
        <v>501.28571428571428</v>
      </c>
      <c r="DF69" s="24">
        <v>420.57142857142856</v>
      </c>
      <c r="DG69" s="24">
        <v>6.8571428571428568</v>
      </c>
      <c r="DH69" s="24">
        <v>84.131428571428572</v>
      </c>
      <c r="DI69" s="24">
        <v>60.857142857142854</v>
      </c>
      <c r="DJ69" s="24">
        <v>80.051913871793445</v>
      </c>
      <c r="DK69" s="24">
        <v>88.743662335922167</v>
      </c>
      <c r="DL69" s="25">
        <v>89.457045498945106</v>
      </c>
      <c r="DM69" s="20">
        <v>18</v>
      </c>
      <c r="DN69" s="24">
        <v>22.491666666666664</v>
      </c>
      <c r="DO69" s="24">
        <v>23.625925925925927</v>
      </c>
      <c r="DP69" s="24">
        <v>7.3027777777777771</v>
      </c>
      <c r="DQ69" s="24">
        <v>528.66666666666663</v>
      </c>
      <c r="DR69" s="24">
        <v>423.77777777777777</v>
      </c>
      <c r="DS69" s="24">
        <v>68.055555555555557</v>
      </c>
      <c r="DT69" s="24">
        <v>80.484260310615582</v>
      </c>
      <c r="DU69" s="25">
        <v>36.833333333333336</v>
      </c>
      <c r="DV69" s="20">
        <v>18</v>
      </c>
      <c r="DW69" s="24">
        <v>22.797222222222221</v>
      </c>
      <c r="DX69" s="24">
        <v>22.957843137254901</v>
      </c>
      <c r="DY69" s="24">
        <v>7.1611111111111114</v>
      </c>
      <c r="DZ69" s="24">
        <v>7.3027777777777771</v>
      </c>
      <c r="EA69" s="24">
        <v>510.33333333333331</v>
      </c>
      <c r="EB69" s="24">
        <v>433.52941176470586</v>
      </c>
      <c r="EC69" s="24">
        <v>433.52941176470586</v>
      </c>
      <c r="ED69" s="24">
        <v>85.688235294117646</v>
      </c>
      <c r="EE69" s="24">
        <v>57</v>
      </c>
      <c r="EF69" s="24">
        <v>86.451516989473376</v>
      </c>
      <c r="EG69" s="24">
        <v>88.092236648587473</v>
      </c>
      <c r="EH69" s="25">
        <v>86.275004002676042</v>
      </c>
      <c r="EI69" s="20">
        <v>16</v>
      </c>
      <c r="EJ69" s="24">
        <v>22.392708333333331</v>
      </c>
      <c r="EK69" s="24">
        <v>23.590624999999999</v>
      </c>
      <c r="EL69" s="24">
        <v>7.2625000000000002</v>
      </c>
      <c r="EM69" s="24">
        <v>532.1875</v>
      </c>
      <c r="EN69" s="24">
        <v>422.625</v>
      </c>
      <c r="EO69" s="24">
        <v>71.875</v>
      </c>
      <c r="EP69" s="24">
        <v>79.724567681764469</v>
      </c>
      <c r="EQ69" s="25">
        <v>37.6875</v>
      </c>
      <c r="ER69" s="20">
        <v>15</v>
      </c>
      <c r="ES69" s="24">
        <v>22.41888888888889</v>
      </c>
      <c r="ET69" s="24">
        <v>22.563095238095237</v>
      </c>
      <c r="EU69" s="24">
        <v>7.065555555555556</v>
      </c>
      <c r="EV69" s="24">
        <v>7.2133333333333338</v>
      </c>
      <c r="EW69" s="24">
        <v>527.66666666666663</v>
      </c>
      <c r="EX69" s="24">
        <v>450.07142857142856</v>
      </c>
      <c r="EY69" s="24">
        <v>7.0714285714285712</v>
      </c>
      <c r="EZ69" s="24">
        <v>85.73</v>
      </c>
      <c r="FA69" s="24">
        <v>58.857142857142854</v>
      </c>
      <c r="FB69" s="24">
        <v>85.823404646081926</v>
      </c>
      <c r="FC69" s="24">
        <v>88.10721922465693</v>
      </c>
      <c r="FD69" s="24">
        <v>87.490319183364377</v>
      </c>
    </row>
    <row r="70" spans="1:160" x14ac:dyDescent="0.25">
      <c r="A70">
        <v>4168</v>
      </c>
      <c r="B70">
        <v>2</v>
      </c>
      <c r="C70">
        <v>26</v>
      </c>
      <c r="D70" s="1">
        <v>1.69</v>
      </c>
      <c r="E70">
        <v>66</v>
      </c>
      <c r="F70">
        <v>23.11</v>
      </c>
      <c r="G70">
        <v>1</v>
      </c>
      <c r="H70">
        <v>10</v>
      </c>
      <c r="I70">
        <v>28</v>
      </c>
      <c r="J70">
        <v>2</v>
      </c>
      <c r="K70">
        <v>2</v>
      </c>
      <c r="L70">
        <v>3</v>
      </c>
      <c r="M70" s="1">
        <v>22.18</v>
      </c>
      <c r="O70" s="1">
        <v>22</v>
      </c>
      <c r="P70" s="1">
        <v>-0.18</v>
      </c>
      <c r="Q70" s="1">
        <v>22.88</v>
      </c>
      <c r="R70" s="1">
        <v>0.7</v>
      </c>
      <c r="S70" s="1">
        <v>21</v>
      </c>
      <c r="T70">
        <v>0</v>
      </c>
      <c r="U70">
        <v>2</v>
      </c>
      <c r="V70">
        <v>0</v>
      </c>
      <c r="W70">
        <v>13</v>
      </c>
      <c r="X70">
        <v>2</v>
      </c>
      <c r="Y70">
        <v>5</v>
      </c>
      <c r="Z70">
        <v>3</v>
      </c>
      <c r="AA70">
        <v>1</v>
      </c>
      <c r="AB70">
        <v>1</v>
      </c>
      <c r="AC70">
        <v>10</v>
      </c>
      <c r="AD70">
        <v>2</v>
      </c>
      <c r="AE70">
        <v>1</v>
      </c>
      <c r="AF70">
        <v>2</v>
      </c>
      <c r="AG70">
        <v>1</v>
      </c>
      <c r="AH70">
        <v>1</v>
      </c>
      <c r="AI70">
        <v>1</v>
      </c>
      <c r="AJ70">
        <v>0</v>
      </c>
      <c r="AK70">
        <v>2</v>
      </c>
      <c r="AL70">
        <v>8</v>
      </c>
      <c r="AM70">
        <v>2</v>
      </c>
      <c r="AN70">
        <v>6</v>
      </c>
      <c r="AO70">
        <v>4</v>
      </c>
      <c r="AP70">
        <v>6</v>
      </c>
      <c r="AQ70">
        <v>16</v>
      </c>
      <c r="AR70">
        <v>0</v>
      </c>
      <c r="AS70">
        <v>7</v>
      </c>
      <c r="AT70">
        <v>14</v>
      </c>
      <c r="AU70">
        <v>2</v>
      </c>
      <c r="AV70">
        <v>3</v>
      </c>
      <c r="AW70">
        <v>2</v>
      </c>
      <c r="AX70">
        <v>1</v>
      </c>
      <c r="AY70">
        <v>1</v>
      </c>
      <c r="AZ70">
        <v>11</v>
      </c>
      <c r="BA70">
        <v>2</v>
      </c>
      <c r="BB70">
        <v>1</v>
      </c>
      <c r="BC70">
        <v>3</v>
      </c>
      <c r="BD70">
        <v>1</v>
      </c>
      <c r="BE70">
        <v>1</v>
      </c>
      <c r="BF70">
        <v>1</v>
      </c>
      <c r="BG70">
        <v>0</v>
      </c>
      <c r="BH70">
        <v>2</v>
      </c>
      <c r="BI70">
        <v>9</v>
      </c>
      <c r="BJ70">
        <v>2</v>
      </c>
      <c r="BK70">
        <v>6</v>
      </c>
      <c r="BL70">
        <v>5</v>
      </c>
      <c r="BM70">
        <v>6</v>
      </c>
      <c r="BN70">
        <v>17</v>
      </c>
      <c r="BO70">
        <v>2</v>
      </c>
      <c r="BP70">
        <v>5</v>
      </c>
      <c r="BQ70">
        <v>4</v>
      </c>
      <c r="BR70">
        <v>2</v>
      </c>
      <c r="BS70">
        <v>2</v>
      </c>
      <c r="BT70">
        <v>4</v>
      </c>
      <c r="BU70">
        <v>2</v>
      </c>
      <c r="BV70">
        <v>2</v>
      </c>
      <c r="BW70">
        <v>4</v>
      </c>
      <c r="BX70">
        <v>2</v>
      </c>
      <c r="BY70">
        <v>2</v>
      </c>
      <c r="BZ70">
        <v>2</v>
      </c>
      <c r="CA70">
        <v>1</v>
      </c>
      <c r="CB70">
        <v>1</v>
      </c>
      <c r="CC70">
        <v>13</v>
      </c>
      <c r="CD70">
        <v>2</v>
      </c>
      <c r="CE70">
        <v>1</v>
      </c>
      <c r="CF70">
        <v>1</v>
      </c>
      <c r="CG70">
        <v>20</v>
      </c>
      <c r="CH70">
        <v>20</v>
      </c>
      <c r="CI70">
        <v>20</v>
      </c>
      <c r="CJ70">
        <v>22</v>
      </c>
      <c r="CK70">
        <v>27</v>
      </c>
      <c r="CL70">
        <v>23</v>
      </c>
      <c r="CM70">
        <v>26</v>
      </c>
      <c r="CN70">
        <v>20</v>
      </c>
      <c r="CO70">
        <v>18</v>
      </c>
      <c r="CP70" s="26">
        <v>21</v>
      </c>
      <c r="CQ70" s="20">
        <v>6</v>
      </c>
      <c r="CR70" s="24">
        <v>22.875</v>
      </c>
      <c r="CS70" s="24">
        <v>23.236111111111111</v>
      </c>
      <c r="CT70" s="24">
        <v>7.3888888888888893</v>
      </c>
      <c r="CU70" s="24">
        <v>510.83333333333331</v>
      </c>
      <c r="CV70" s="24">
        <v>481.66666666666669</v>
      </c>
      <c r="CW70" s="24">
        <v>21.666666666666668</v>
      </c>
      <c r="CX70" s="24">
        <v>94.116502644804541</v>
      </c>
      <c r="CY70" s="25">
        <v>7.5</v>
      </c>
      <c r="CZ70" s="20">
        <v>6</v>
      </c>
      <c r="DA70" s="24">
        <v>22.875</v>
      </c>
      <c r="DB70" s="24">
        <v>23.158333333333331</v>
      </c>
      <c r="DC70" s="24">
        <v>7.6166666666666671</v>
      </c>
      <c r="DD70" s="24">
        <v>7.8888888888888893</v>
      </c>
      <c r="DE70" s="24">
        <v>540.83333333333337</v>
      </c>
      <c r="DF70" s="24">
        <v>439.66666666666669</v>
      </c>
      <c r="DG70" s="24">
        <v>17</v>
      </c>
      <c r="DH70" s="24">
        <v>81.226666666666674</v>
      </c>
      <c r="DI70" s="24">
        <v>67.833333333333329</v>
      </c>
      <c r="DJ70" s="24">
        <v>82.317249669120031</v>
      </c>
      <c r="DK70" s="24">
        <v>86.395640585256658</v>
      </c>
      <c r="DL70" s="25">
        <v>84.369256184057633</v>
      </c>
      <c r="DM70" s="20">
        <v>18</v>
      </c>
      <c r="DN70" s="24">
        <v>22.773148148148152</v>
      </c>
      <c r="DO70" s="24">
        <v>23.490740740740737</v>
      </c>
      <c r="DP70" s="24">
        <v>8.0740740740740726</v>
      </c>
      <c r="DQ70" s="24">
        <v>558.05555555555554</v>
      </c>
      <c r="DR70" s="24">
        <v>500.83333333333331</v>
      </c>
      <c r="DS70" s="24">
        <v>43.055555555555557</v>
      </c>
      <c r="DT70" s="24">
        <v>90.08705568165513</v>
      </c>
      <c r="DU70" s="25">
        <v>14.166666666666666</v>
      </c>
      <c r="DV70" s="20">
        <v>18</v>
      </c>
      <c r="DW70" s="24">
        <v>22.936274509803926</v>
      </c>
      <c r="DX70" s="24">
        <v>23.463541666666671</v>
      </c>
      <c r="DY70" s="24">
        <v>7.8225490196078438</v>
      </c>
      <c r="DZ70" s="24">
        <v>8.1764705882352935</v>
      </c>
      <c r="EA70" s="24">
        <v>554.41176470588232</v>
      </c>
      <c r="EB70" s="24">
        <v>440.5625</v>
      </c>
      <c r="EC70" s="24">
        <v>440.5625</v>
      </c>
      <c r="ED70" s="24">
        <v>79.712500000000006</v>
      </c>
      <c r="EE70" s="24">
        <v>58.5</v>
      </c>
      <c r="EF70" s="24">
        <v>81.863727087534187</v>
      </c>
      <c r="EG70" s="24">
        <v>87.952953235431821</v>
      </c>
      <c r="EH70" s="25">
        <v>84.125350414984453</v>
      </c>
      <c r="EI70" s="20">
        <v>12</v>
      </c>
      <c r="EJ70" s="24">
        <v>22.493055555555557</v>
      </c>
      <c r="EK70" s="24">
        <v>23.319444444444446</v>
      </c>
      <c r="EL70" s="24">
        <v>8.1805555555555554</v>
      </c>
      <c r="EM70" s="24">
        <v>581.25</v>
      </c>
      <c r="EN70" s="24">
        <v>513.75</v>
      </c>
      <c r="EO70" s="24">
        <v>49.583333333333336</v>
      </c>
      <c r="EP70" s="24">
        <v>88.679708903767448</v>
      </c>
      <c r="EQ70" s="25">
        <v>17.916666666666668</v>
      </c>
      <c r="ER70" s="20">
        <v>12</v>
      </c>
      <c r="ES70" s="24">
        <v>22.506944444444446</v>
      </c>
      <c r="ET70" s="24">
        <v>23.136363636363637</v>
      </c>
      <c r="EU70" s="24">
        <v>7.9347222222222227</v>
      </c>
      <c r="EV70" s="24">
        <v>8.2361111111111107</v>
      </c>
      <c r="EW70" s="24">
        <v>583.75</v>
      </c>
      <c r="EX70" s="24">
        <v>461.72727272727275</v>
      </c>
      <c r="EY70" s="24">
        <v>38.636363636363633</v>
      </c>
      <c r="EZ70" s="24">
        <v>79.017272727272726</v>
      </c>
      <c r="FA70" s="24">
        <v>63.18181818181818</v>
      </c>
      <c r="FB70" s="24">
        <v>79.623160374500088</v>
      </c>
      <c r="FC70" s="24">
        <v>87.431052346574262</v>
      </c>
      <c r="FD70" s="24">
        <v>83.795368941315942</v>
      </c>
    </row>
    <row r="71" spans="1:160" x14ac:dyDescent="0.25">
      <c r="A71">
        <v>4171</v>
      </c>
      <c r="B71">
        <v>1</v>
      </c>
      <c r="C71">
        <v>28</v>
      </c>
      <c r="D71" s="1">
        <v>1.82</v>
      </c>
      <c r="E71">
        <v>80</v>
      </c>
      <c r="F71">
        <v>24.15</v>
      </c>
      <c r="G71">
        <v>1</v>
      </c>
      <c r="H71">
        <v>9</v>
      </c>
      <c r="I71">
        <v>27</v>
      </c>
      <c r="J71">
        <v>2</v>
      </c>
      <c r="K71">
        <v>1</v>
      </c>
      <c r="L71">
        <v>3</v>
      </c>
      <c r="M71" s="1">
        <v>21.57</v>
      </c>
      <c r="N71">
        <v>21.7</v>
      </c>
      <c r="O71" s="1">
        <v>22</v>
      </c>
      <c r="P71" s="1">
        <v>0.43</v>
      </c>
      <c r="Q71" s="1">
        <v>23.330000000000002</v>
      </c>
      <c r="R71" s="1">
        <v>1.76</v>
      </c>
      <c r="S71" s="1">
        <v>21</v>
      </c>
      <c r="T71">
        <v>0</v>
      </c>
      <c r="U71">
        <v>2</v>
      </c>
      <c r="V71">
        <v>0</v>
      </c>
      <c r="W71">
        <v>6</v>
      </c>
      <c r="X71">
        <v>1</v>
      </c>
      <c r="Y71">
        <v>1</v>
      </c>
      <c r="Z71">
        <v>2</v>
      </c>
      <c r="AA71">
        <v>1</v>
      </c>
      <c r="AB71">
        <v>1</v>
      </c>
      <c r="AC71">
        <v>8</v>
      </c>
      <c r="AD71">
        <v>2</v>
      </c>
      <c r="AE71">
        <v>1</v>
      </c>
      <c r="AF71">
        <v>3</v>
      </c>
      <c r="AG71">
        <v>0</v>
      </c>
      <c r="AH71">
        <v>0</v>
      </c>
      <c r="AI71">
        <v>1</v>
      </c>
      <c r="AJ71">
        <v>0</v>
      </c>
      <c r="AK71">
        <v>1</v>
      </c>
      <c r="AL71">
        <v>6</v>
      </c>
      <c r="AM71">
        <v>2</v>
      </c>
      <c r="AN71">
        <v>3</v>
      </c>
      <c r="AO71">
        <v>4</v>
      </c>
      <c r="AP71">
        <v>3</v>
      </c>
      <c r="AQ71">
        <v>10</v>
      </c>
      <c r="AR71">
        <v>0</v>
      </c>
      <c r="AS71">
        <v>5</v>
      </c>
      <c r="AT71">
        <v>7</v>
      </c>
      <c r="AU71">
        <v>1</v>
      </c>
      <c r="AV71">
        <v>6</v>
      </c>
      <c r="AW71">
        <v>1</v>
      </c>
      <c r="AX71">
        <v>1</v>
      </c>
      <c r="AY71">
        <v>1</v>
      </c>
      <c r="AZ71">
        <v>8</v>
      </c>
      <c r="BA71">
        <v>2</v>
      </c>
      <c r="BB71">
        <v>2</v>
      </c>
      <c r="BC71">
        <v>3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7</v>
      </c>
      <c r="BJ71">
        <v>2</v>
      </c>
      <c r="BK71">
        <v>3</v>
      </c>
      <c r="BL71">
        <v>5</v>
      </c>
      <c r="BM71">
        <v>4</v>
      </c>
      <c r="BN71">
        <v>12</v>
      </c>
      <c r="BO71">
        <v>0</v>
      </c>
      <c r="BP71">
        <v>5</v>
      </c>
      <c r="BQ71">
        <v>3</v>
      </c>
      <c r="BR71">
        <v>2</v>
      </c>
      <c r="BS71">
        <v>1</v>
      </c>
      <c r="BT71">
        <v>3</v>
      </c>
      <c r="BU71">
        <v>2</v>
      </c>
      <c r="BV71">
        <v>1</v>
      </c>
      <c r="BW71">
        <v>3</v>
      </c>
      <c r="BX71">
        <v>2</v>
      </c>
      <c r="BY71">
        <v>1</v>
      </c>
      <c r="BZ71">
        <v>2</v>
      </c>
      <c r="CA71">
        <v>2</v>
      </c>
      <c r="CB71">
        <v>1</v>
      </c>
      <c r="CC71">
        <v>9</v>
      </c>
      <c r="CD71">
        <v>2</v>
      </c>
      <c r="CE71">
        <v>1</v>
      </c>
      <c r="CF71">
        <v>1</v>
      </c>
      <c r="CG71">
        <v>21</v>
      </c>
      <c r="CH71">
        <v>26</v>
      </c>
      <c r="CI71">
        <v>26</v>
      </c>
      <c r="CJ71">
        <v>20</v>
      </c>
      <c r="CK71">
        <v>23</v>
      </c>
      <c r="CL71">
        <v>19</v>
      </c>
      <c r="CM71">
        <v>24</v>
      </c>
      <c r="CN71">
        <v>22</v>
      </c>
      <c r="CO71">
        <v>21</v>
      </c>
      <c r="CP71" s="26">
        <v>22</v>
      </c>
      <c r="CQ71" s="20">
        <v>6</v>
      </c>
      <c r="CR71" s="24">
        <v>23.333333333333332</v>
      </c>
      <c r="CS71" s="24">
        <v>23.875</v>
      </c>
      <c r="CT71" s="24">
        <v>7.7638888888888884</v>
      </c>
      <c r="CU71" s="24">
        <v>505.83333333333331</v>
      </c>
      <c r="CV71" s="24">
        <v>461.66666666666669</v>
      </c>
      <c r="CW71" s="24">
        <v>32.5</v>
      </c>
      <c r="CX71" s="24">
        <v>91.191855192303422</v>
      </c>
      <c r="CY71" s="25">
        <v>11.666666666666666</v>
      </c>
      <c r="CZ71" s="20">
        <v>7</v>
      </c>
      <c r="DA71" s="24">
        <v>23.333333333333336</v>
      </c>
      <c r="DB71" s="24">
        <v>23.550000000000004</v>
      </c>
      <c r="DC71" s="24">
        <v>7.3380952380952369</v>
      </c>
      <c r="DD71" s="24">
        <v>7.7023809523809508</v>
      </c>
      <c r="DE71" s="24">
        <v>502.14285714285717</v>
      </c>
      <c r="DF71" s="24">
        <v>386.85714285714283</v>
      </c>
      <c r="DG71" s="24">
        <v>13</v>
      </c>
      <c r="DH71" s="24">
        <v>77.145714285714277</v>
      </c>
      <c r="DI71" s="24">
        <v>80.428571428571431</v>
      </c>
      <c r="DJ71" s="24">
        <v>81.259938439868478</v>
      </c>
      <c r="DK71" s="24">
        <v>81.85440094993703</v>
      </c>
      <c r="DL71" s="25">
        <v>76.9748743283685</v>
      </c>
      <c r="DM71" s="20">
        <v>20</v>
      </c>
      <c r="DN71" s="24">
        <v>22.212500000000002</v>
      </c>
      <c r="DO71" s="24">
        <v>22.94166666666667</v>
      </c>
      <c r="DP71" s="24">
        <v>7.1</v>
      </c>
      <c r="DQ71" s="24">
        <v>533.25</v>
      </c>
      <c r="DR71" s="24">
        <v>470.78947368421052</v>
      </c>
      <c r="DS71" s="24">
        <v>46.05263157894737</v>
      </c>
      <c r="DT71" s="24">
        <v>88.235227319786716</v>
      </c>
      <c r="DU71" s="25">
        <v>15.5</v>
      </c>
      <c r="DV71" s="20">
        <v>20</v>
      </c>
      <c r="DW71" s="24">
        <v>22.212500000000002</v>
      </c>
      <c r="DX71" s="24">
        <v>22.51</v>
      </c>
      <c r="DY71" s="24">
        <v>6.7683333333333335</v>
      </c>
      <c r="DZ71" s="24">
        <v>7.1</v>
      </c>
      <c r="EA71" s="24">
        <v>533.25</v>
      </c>
      <c r="EB71" s="24">
        <v>406.9</v>
      </c>
      <c r="EC71" s="24">
        <v>406.9</v>
      </c>
      <c r="ED71" s="24">
        <v>76.350999999999999</v>
      </c>
      <c r="EE71" s="24">
        <v>88.15</v>
      </c>
      <c r="EF71" s="24">
        <v>81.547435191246407</v>
      </c>
      <c r="EG71" s="24">
        <v>82.596173277501038</v>
      </c>
      <c r="EH71" s="25">
        <v>77.328484953984386</v>
      </c>
      <c r="EI71" s="20">
        <v>20</v>
      </c>
      <c r="EJ71" s="24">
        <v>22.212500000000002</v>
      </c>
      <c r="EK71" s="24">
        <v>22.94166666666667</v>
      </c>
      <c r="EL71" s="24">
        <v>7.1</v>
      </c>
      <c r="EM71" s="24">
        <v>533.25</v>
      </c>
      <c r="EN71" s="24">
        <v>470.78947368421052</v>
      </c>
      <c r="EO71" s="24">
        <v>46.05263157894737</v>
      </c>
      <c r="EP71" s="24">
        <v>88.235227319786716</v>
      </c>
      <c r="EQ71" s="25">
        <v>15.5</v>
      </c>
      <c r="ER71" s="20">
        <v>20</v>
      </c>
      <c r="ES71" s="24">
        <v>22.212500000000002</v>
      </c>
      <c r="ET71" s="24">
        <v>22.51</v>
      </c>
      <c r="EU71" s="24">
        <v>6.7683333333333335</v>
      </c>
      <c r="EV71" s="24">
        <v>7.1</v>
      </c>
      <c r="EW71" s="24">
        <v>533.25</v>
      </c>
      <c r="EX71" s="24">
        <v>406.9</v>
      </c>
      <c r="EY71" s="24">
        <v>17.850000000000001</v>
      </c>
      <c r="EZ71" s="24">
        <v>76.350999999999999</v>
      </c>
      <c r="FA71" s="24">
        <v>88.15</v>
      </c>
      <c r="FB71" s="24">
        <v>81.547435191246407</v>
      </c>
      <c r="FC71" s="24">
        <v>82.596173277501038</v>
      </c>
      <c r="FD71" s="24">
        <v>77.328484953984386</v>
      </c>
    </row>
    <row r="72" spans="1:160" x14ac:dyDescent="0.25">
      <c r="A72">
        <v>4178</v>
      </c>
      <c r="B72">
        <v>1</v>
      </c>
      <c r="C72">
        <v>22</v>
      </c>
      <c r="D72" s="1">
        <v>1.81</v>
      </c>
      <c r="E72">
        <v>104</v>
      </c>
      <c r="F72">
        <v>31.75</v>
      </c>
      <c r="G72">
        <v>2</v>
      </c>
      <c r="H72">
        <v>11</v>
      </c>
      <c r="I72">
        <v>32</v>
      </c>
      <c r="J72">
        <v>2</v>
      </c>
      <c r="K72">
        <v>2</v>
      </c>
      <c r="L72">
        <v>3</v>
      </c>
      <c r="M72" s="1">
        <v>20.57</v>
      </c>
      <c r="O72" s="1">
        <v>21</v>
      </c>
      <c r="P72" s="1">
        <v>0.43</v>
      </c>
      <c r="Q72" s="1">
        <v>24.86</v>
      </c>
      <c r="R72" s="1">
        <v>4.29</v>
      </c>
      <c r="S72" s="1">
        <v>20</v>
      </c>
      <c r="T72">
        <v>0</v>
      </c>
      <c r="U72">
        <v>1</v>
      </c>
      <c r="V72">
        <v>1</v>
      </c>
      <c r="W72">
        <v>14</v>
      </c>
      <c r="X72">
        <v>2</v>
      </c>
      <c r="Y72">
        <v>1</v>
      </c>
      <c r="Z72">
        <v>1</v>
      </c>
      <c r="AA72">
        <v>1</v>
      </c>
      <c r="AB72">
        <v>1</v>
      </c>
      <c r="AC72">
        <v>9</v>
      </c>
      <c r="AD72">
        <v>2</v>
      </c>
      <c r="AE72">
        <v>1</v>
      </c>
      <c r="AF72">
        <v>3</v>
      </c>
      <c r="AG72">
        <v>0</v>
      </c>
      <c r="AH72">
        <v>0</v>
      </c>
      <c r="AI72">
        <v>1</v>
      </c>
      <c r="AJ72">
        <v>0</v>
      </c>
      <c r="AK72">
        <v>1</v>
      </c>
      <c r="AL72">
        <v>6</v>
      </c>
      <c r="AM72">
        <v>2</v>
      </c>
      <c r="AN72">
        <v>7</v>
      </c>
      <c r="AO72">
        <v>1</v>
      </c>
      <c r="AP72">
        <v>3</v>
      </c>
      <c r="AQ72">
        <v>11</v>
      </c>
      <c r="AR72">
        <v>0</v>
      </c>
      <c r="AS72">
        <v>5</v>
      </c>
      <c r="AT72">
        <v>9</v>
      </c>
      <c r="AU72">
        <v>1</v>
      </c>
      <c r="AV72">
        <v>0</v>
      </c>
      <c r="AW72">
        <v>2</v>
      </c>
      <c r="AX72">
        <v>1</v>
      </c>
      <c r="AY72">
        <v>1</v>
      </c>
      <c r="AZ72">
        <v>0</v>
      </c>
      <c r="BA72">
        <v>1</v>
      </c>
      <c r="BB72">
        <v>0</v>
      </c>
      <c r="BC72">
        <v>1</v>
      </c>
      <c r="BD72">
        <v>0</v>
      </c>
      <c r="BE72">
        <v>0</v>
      </c>
      <c r="BF72">
        <v>1</v>
      </c>
      <c r="BG72">
        <v>0</v>
      </c>
      <c r="BH72">
        <v>1</v>
      </c>
      <c r="BI72">
        <v>3</v>
      </c>
      <c r="BJ72">
        <v>1</v>
      </c>
      <c r="BK72">
        <v>4</v>
      </c>
      <c r="BL72">
        <v>1</v>
      </c>
      <c r="BM72">
        <v>3</v>
      </c>
      <c r="BN72">
        <v>8</v>
      </c>
      <c r="BO72">
        <v>0</v>
      </c>
      <c r="BP72">
        <v>0</v>
      </c>
      <c r="BQ72">
        <v>4</v>
      </c>
      <c r="BR72">
        <v>2</v>
      </c>
      <c r="BS72">
        <v>2</v>
      </c>
      <c r="BT72">
        <v>4</v>
      </c>
      <c r="BU72">
        <v>2</v>
      </c>
      <c r="BV72">
        <v>2</v>
      </c>
      <c r="BW72">
        <v>1</v>
      </c>
      <c r="BX72">
        <v>1</v>
      </c>
      <c r="BY72">
        <v>1</v>
      </c>
      <c r="BZ72">
        <v>1</v>
      </c>
      <c r="CA72">
        <v>4</v>
      </c>
      <c r="CB72">
        <v>1</v>
      </c>
      <c r="CC72">
        <v>1</v>
      </c>
      <c r="CD72">
        <v>1</v>
      </c>
      <c r="CE72">
        <v>1</v>
      </c>
      <c r="CF72">
        <v>2</v>
      </c>
      <c r="CG72">
        <v>20</v>
      </c>
      <c r="CH72">
        <v>23</v>
      </c>
      <c r="CI72">
        <v>20</v>
      </c>
      <c r="CJ72">
        <v>14</v>
      </c>
      <c r="CK72">
        <v>9</v>
      </c>
      <c r="CL72">
        <v>24</v>
      </c>
      <c r="CM72">
        <v>18</v>
      </c>
      <c r="CN72">
        <v>15</v>
      </c>
      <c r="CO72">
        <v>11</v>
      </c>
      <c r="CP72" s="26">
        <v>8</v>
      </c>
      <c r="CQ72" s="20">
        <v>6</v>
      </c>
      <c r="CR72" s="24">
        <v>24.75</v>
      </c>
      <c r="CS72" s="24">
        <v>25.194444444444446</v>
      </c>
      <c r="CT72" s="24">
        <v>8.4166666666666661</v>
      </c>
      <c r="CU72" s="24">
        <v>460</v>
      </c>
      <c r="CV72" s="24">
        <v>405.83333333333331</v>
      </c>
      <c r="CW72" s="24">
        <v>26.666666666666668</v>
      </c>
      <c r="CX72" s="24">
        <v>89.840621433758699</v>
      </c>
      <c r="CY72" s="25">
        <v>27.5</v>
      </c>
      <c r="CZ72" s="20">
        <v>7</v>
      </c>
      <c r="DA72" s="24">
        <v>24.857142857142858</v>
      </c>
      <c r="DB72" s="24">
        <v>24.942857142857143</v>
      </c>
      <c r="DC72" s="24">
        <v>8.6595238095238098</v>
      </c>
      <c r="DD72" s="24">
        <v>8.7857142857142865</v>
      </c>
      <c r="DE72" s="24">
        <v>475.71428571428572</v>
      </c>
      <c r="DF72" s="24">
        <v>365.8</v>
      </c>
      <c r="DG72" s="24">
        <v>5.6</v>
      </c>
      <c r="DH72" s="24">
        <v>87.877999999999986</v>
      </c>
      <c r="DI72" s="24">
        <v>42.4</v>
      </c>
      <c r="DJ72" s="24">
        <v>90.375</v>
      </c>
      <c r="DK72" s="24">
        <v>90.589285714285708</v>
      </c>
      <c r="DL72" s="25">
        <v>86.017857142857139</v>
      </c>
      <c r="DM72" s="20">
        <v>18</v>
      </c>
      <c r="DN72" s="24">
        <v>21.058823529411764</v>
      </c>
      <c r="DO72" s="24">
        <v>21.838235294117649</v>
      </c>
      <c r="DP72" s="24">
        <v>6.9803921568627452</v>
      </c>
      <c r="DQ72" s="24">
        <v>595.29411764705878</v>
      </c>
      <c r="DR72" s="24">
        <v>525.88235294117646</v>
      </c>
      <c r="DS72" s="24">
        <v>46.764705882352942</v>
      </c>
      <c r="DT72" s="24">
        <v>88.999721948102788</v>
      </c>
      <c r="DU72" s="25">
        <v>22.647058823529413</v>
      </c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5"/>
      <c r="EI72" s="20">
        <v>17</v>
      </c>
      <c r="EJ72" s="24">
        <v>21.058823529411764</v>
      </c>
      <c r="EK72" s="24">
        <v>21.838235294117649</v>
      </c>
      <c r="EL72" s="24">
        <v>6.9803921568627452</v>
      </c>
      <c r="EM72" s="24">
        <v>595.29411764705878</v>
      </c>
      <c r="EN72" s="24">
        <v>525.88235294117646</v>
      </c>
      <c r="EO72" s="24">
        <v>46.764705882352942</v>
      </c>
      <c r="EP72" s="24">
        <v>88.999721948102788</v>
      </c>
      <c r="EQ72" s="25">
        <v>22.647058823529413</v>
      </c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</row>
    <row r="73" spans="1:160" x14ac:dyDescent="0.25">
      <c r="A73">
        <v>5003</v>
      </c>
      <c r="B73">
        <v>1</v>
      </c>
      <c r="C73">
        <v>24</v>
      </c>
      <c r="D73" s="1">
        <v>1.9</v>
      </c>
      <c r="E73">
        <v>100</v>
      </c>
      <c r="F73">
        <v>27.7</v>
      </c>
      <c r="G73">
        <v>1</v>
      </c>
      <c r="H73">
        <v>14</v>
      </c>
      <c r="I73">
        <v>23</v>
      </c>
      <c r="J73">
        <v>2</v>
      </c>
      <c r="K73">
        <v>1</v>
      </c>
      <c r="L73">
        <v>3</v>
      </c>
      <c r="M73" s="1">
        <v>23.9</v>
      </c>
      <c r="O73" s="1">
        <v>24</v>
      </c>
      <c r="P73" s="1">
        <v>0.1</v>
      </c>
      <c r="Q73" s="1">
        <v>24.74</v>
      </c>
      <c r="R73" s="1">
        <v>0.84</v>
      </c>
      <c r="S73" s="1">
        <v>23</v>
      </c>
      <c r="T73">
        <v>0</v>
      </c>
      <c r="U73">
        <v>2</v>
      </c>
      <c r="V73">
        <v>0</v>
      </c>
      <c r="W73">
        <v>3</v>
      </c>
      <c r="X73">
        <v>1</v>
      </c>
      <c r="Y73">
        <v>4</v>
      </c>
      <c r="Z73">
        <v>9</v>
      </c>
      <c r="AA73">
        <v>1</v>
      </c>
      <c r="AB73">
        <v>1</v>
      </c>
      <c r="AC73">
        <v>8</v>
      </c>
      <c r="AD73">
        <v>2</v>
      </c>
      <c r="AE73">
        <v>2</v>
      </c>
      <c r="AF73">
        <v>3</v>
      </c>
      <c r="AG73">
        <v>2</v>
      </c>
      <c r="AH73">
        <v>0</v>
      </c>
      <c r="AI73">
        <v>1</v>
      </c>
      <c r="AJ73">
        <v>0</v>
      </c>
      <c r="AK73">
        <v>1</v>
      </c>
      <c r="AL73">
        <v>9</v>
      </c>
      <c r="AM73">
        <v>2</v>
      </c>
      <c r="AN73">
        <v>4</v>
      </c>
      <c r="AO73">
        <v>2</v>
      </c>
      <c r="AP73">
        <v>6</v>
      </c>
      <c r="AQ73">
        <v>12</v>
      </c>
      <c r="AR73">
        <v>0</v>
      </c>
      <c r="AS73">
        <v>2</v>
      </c>
      <c r="AT73">
        <v>7</v>
      </c>
      <c r="AU73">
        <v>1</v>
      </c>
      <c r="AV73">
        <v>6</v>
      </c>
      <c r="AW73">
        <v>8</v>
      </c>
      <c r="AX73">
        <v>1</v>
      </c>
      <c r="AY73">
        <v>1</v>
      </c>
      <c r="AZ73">
        <v>6</v>
      </c>
      <c r="BA73">
        <v>1</v>
      </c>
      <c r="BB73">
        <v>1</v>
      </c>
      <c r="BC73">
        <v>3</v>
      </c>
      <c r="BD73">
        <v>0</v>
      </c>
      <c r="BE73">
        <v>0</v>
      </c>
      <c r="BF73">
        <v>1</v>
      </c>
      <c r="BG73">
        <v>3</v>
      </c>
      <c r="BH73">
        <v>1</v>
      </c>
      <c r="BI73">
        <v>9</v>
      </c>
      <c r="BJ73">
        <v>2</v>
      </c>
      <c r="BK73">
        <v>2</v>
      </c>
      <c r="BL73">
        <v>4</v>
      </c>
      <c r="BM73">
        <v>3</v>
      </c>
      <c r="BN73">
        <v>9</v>
      </c>
      <c r="BO73">
        <v>0</v>
      </c>
      <c r="BP73">
        <v>0</v>
      </c>
      <c r="BQ73">
        <v>3</v>
      </c>
      <c r="BR73">
        <v>2</v>
      </c>
      <c r="BS73">
        <v>1</v>
      </c>
      <c r="BT73">
        <v>1</v>
      </c>
      <c r="BU73">
        <v>1</v>
      </c>
      <c r="BV73">
        <v>1</v>
      </c>
      <c r="BW73">
        <v>2</v>
      </c>
      <c r="BX73">
        <v>1</v>
      </c>
      <c r="BY73">
        <v>1</v>
      </c>
      <c r="BZ73">
        <v>1</v>
      </c>
      <c r="CA73">
        <v>4</v>
      </c>
      <c r="CB73">
        <v>1</v>
      </c>
      <c r="CC73">
        <v>1</v>
      </c>
      <c r="CD73">
        <v>5</v>
      </c>
      <c r="CE73">
        <v>2</v>
      </c>
      <c r="CF73">
        <v>1</v>
      </c>
      <c r="CG73">
        <v>23</v>
      </c>
      <c r="CH73">
        <v>25</v>
      </c>
      <c r="CI73">
        <v>21</v>
      </c>
      <c r="CJ73">
        <v>18</v>
      </c>
      <c r="CK73">
        <v>18</v>
      </c>
      <c r="CL73">
        <v>23</v>
      </c>
      <c r="CM73">
        <v>20</v>
      </c>
      <c r="CN73">
        <v>13</v>
      </c>
      <c r="CO73">
        <v>15</v>
      </c>
      <c r="CP73" s="26">
        <v>12</v>
      </c>
      <c r="CQ73" s="20">
        <v>7</v>
      </c>
      <c r="CR73" s="24">
        <v>24.738095238095241</v>
      </c>
      <c r="CS73" s="24">
        <v>25.88095238095238</v>
      </c>
      <c r="CT73" s="24">
        <v>10.833333333333334</v>
      </c>
      <c r="CU73" s="24">
        <v>605.71428571428567</v>
      </c>
      <c r="CV73" s="24">
        <v>500</v>
      </c>
      <c r="CW73" s="24">
        <v>68.571428571428569</v>
      </c>
      <c r="CX73" s="24">
        <v>81.633346669317888</v>
      </c>
      <c r="CY73" s="25">
        <v>37.142857142857146</v>
      </c>
      <c r="CZ73" s="20">
        <v>7</v>
      </c>
      <c r="DA73" s="24">
        <v>24.738095238095241</v>
      </c>
      <c r="DB73" s="24">
        <v>25.235714285714284</v>
      </c>
      <c r="DC73" s="24">
        <v>10.721428571428572</v>
      </c>
      <c r="DD73" s="24">
        <v>10.833333333333334</v>
      </c>
      <c r="DE73" s="24">
        <v>605.71428571428567</v>
      </c>
      <c r="DF73" s="24">
        <v>515.42857142857144</v>
      </c>
      <c r="DG73" s="24">
        <v>29.857142857142858</v>
      </c>
      <c r="DH73" s="24">
        <v>84.78857142857143</v>
      </c>
      <c r="DI73" s="24">
        <v>53.714285714285715</v>
      </c>
      <c r="DJ73" s="24">
        <v>81.263979572015288</v>
      </c>
      <c r="DK73" s="24">
        <v>91.562943504907793</v>
      </c>
      <c r="DL73" s="25">
        <v>87.91647010374848</v>
      </c>
      <c r="DM73" s="20">
        <v>18</v>
      </c>
      <c r="DN73" s="24">
        <v>24.157407407407405</v>
      </c>
      <c r="DO73" s="24">
        <v>25.305555555555557</v>
      </c>
      <c r="DP73" s="24">
        <v>9.8888888888888893</v>
      </c>
      <c r="DQ73" s="24">
        <v>583.88888888888891</v>
      </c>
      <c r="DR73" s="24">
        <v>474.16666666666669</v>
      </c>
      <c r="DS73" s="24">
        <v>68.888888888888886</v>
      </c>
      <c r="DT73" s="24">
        <v>80.924573348342108</v>
      </c>
      <c r="DU73" s="25">
        <v>40.833333333333336</v>
      </c>
      <c r="DV73" s="20">
        <v>18</v>
      </c>
      <c r="DW73" s="24">
        <v>24.74074074074074</v>
      </c>
      <c r="DX73" s="24">
        <v>24.900000000000002</v>
      </c>
      <c r="DY73" s="24">
        <v>9.9537037037037024</v>
      </c>
      <c r="DZ73" s="24">
        <v>10.055555555555555</v>
      </c>
      <c r="EA73" s="24">
        <v>558.88888888888891</v>
      </c>
      <c r="EB73" s="24">
        <v>457.88888888888891</v>
      </c>
      <c r="EC73" s="24">
        <v>457.88888888888891</v>
      </c>
      <c r="ED73" s="24">
        <v>81.745555555555541</v>
      </c>
      <c r="EE73" s="24">
        <v>54.833333333333336</v>
      </c>
      <c r="EF73" s="24">
        <v>74.728495638274936</v>
      </c>
      <c r="EG73" s="24">
        <v>91.105892245296374</v>
      </c>
      <c r="EH73" s="25">
        <v>88.017212453438376</v>
      </c>
      <c r="EI73" s="20">
        <v>17</v>
      </c>
      <c r="EJ73" s="24">
        <v>24.093137254901961</v>
      </c>
      <c r="EK73" s="24">
        <v>25.264705882352946</v>
      </c>
      <c r="EL73" s="24">
        <v>9.882352941176471</v>
      </c>
      <c r="EM73" s="24">
        <v>587.35294117647061</v>
      </c>
      <c r="EN73" s="24">
        <v>475</v>
      </c>
      <c r="EO73" s="24">
        <v>70.294117647058826</v>
      </c>
      <c r="EP73" s="24">
        <v>80.530780744182948</v>
      </c>
      <c r="EQ73" s="25">
        <v>42.058823529411768</v>
      </c>
      <c r="ER73" s="20">
        <v>11</v>
      </c>
      <c r="ES73" s="24">
        <v>24.181818181818183</v>
      </c>
      <c r="ET73" s="24">
        <v>24.362121212121213</v>
      </c>
      <c r="EU73" s="24">
        <v>9.2772727272727273</v>
      </c>
      <c r="EV73" s="24">
        <v>9.3636363636363633</v>
      </c>
      <c r="EW73" s="24">
        <v>550.90909090909088</v>
      </c>
      <c r="EX73" s="24">
        <v>449.90909090909093</v>
      </c>
      <c r="EY73" s="24">
        <v>35.636363636363633</v>
      </c>
      <c r="EZ73" s="24">
        <v>81.290909090909082</v>
      </c>
      <c r="FA73" s="24">
        <v>60.18181818181818</v>
      </c>
      <c r="FB73" s="24">
        <v>73.28641070683085</v>
      </c>
      <c r="FC73" s="24">
        <v>91.270147776640769</v>
      </c>
      <c r="FD73" s="24">
        <v>87.749329027770571</v>
      </c>
    </row>
    <row r="74" spans="1:160" x14ac:dyDescent="0.25">
      <c r="A74">
        <v>5004</v>
      </c>
      <c r="B74">
        <v>2</v>
      </c>
      <c r="C74">
        <v>18</v>
      </c>
      <c r="D74" s="1">
        <v>1.71</v>
      </c>
      <c r="E74">
        <v>55</v>
      </c>
      <c r="F74">
        <v>18.809999999999999</v>
      </c>
      <c r="G74">
        <v>2</v>
      </c>
      <c r="H74">
        <v>9</v>
      </c>
      <c r="I74">
        <v>27</v>
      </c>
      <c r="J74">
        <v>2</v>
      </c>
      <c r="K74">
        <v>2</v>
      </c>
      <c r="L74">
        <v>3</v>
      </c>
      <c r="M74" s="1">
        <v>22.15</v>
      </c>
      <c r="O74" s="1">
        <v>22.5</v>
      </c>
      <c r="P74" s="1">
        <v>0.35</v>
      </c>
      <c r="Q74" s="1">
        <v>23.83</v>
      </c>
      <c r="R74" s="1">
        <v>1.68</v>
      </c>
      <c r="S74" s="1">
        <v>21.5</v>
      </c>
      <c r="T74">
        <v>0</v>
      </c>
      <c r="U74">
        <v>2</v>
      </c>
      <c r="V74">
        <v>0</v>
      </c>
      <c r="W74">
        <v>4</v>
      </c>
      <c r="X74">
        <v>1</v>
      </c>
      <c r="Y74">
        <v>10</v>
      </c>
      <c r="Z74">
        <v>57</v>
      </c>
      <c r="AA74">
        <v>2</v>
      </c>
      <c r="AB74">
        <v>2</v>
      </c>
      <c r="AC74">
        <v>9</v>
      </c>
      <c r="AD74">
        <v>2</v>
      </c>
      <c r="AE74">
        <v>2</v>
      </c>
      <c r="AF74">
        <v>3</v>
      </c>
      <c r="AG74">
        <v>1</v>
      </c>
      <c r="AH74">
        <v>1</v>
      </c>
      <c r="AI74">
        <v>2</v>
      </c>
      <c r="AJ74">
        <v>0</v>
      </c>
      <c r="AK74">
        <v>3</v>
      </c>
      <c r="AL74">
        <v>12</v>
      </c>
      <c r="AM74">
        <v>2</v>
      </c>
      <c r="AN74">
        <v>7</v>
      </c>
      <c r="AO74">
        <v>7</v>
      </c>
      <c r="AP74">
        <v>5</v>
      </c>
      <c r="AQ74">
        <v>19</v>
      </c>
      <c r="AR74">
        <v>0</v>
      </c>
      <c r="AS74">
        <v>10</v>
      </c>
      <c r="BQ74">
        <v>4</v>
      </c>
      <c r="BR74">
        <v>2</v>
      </c>
      <c r="BS74">
        <v>2</v>
      </c>
      <c r="BT74">
        <v>4</v>
      </c>
      <c r="BU74">
        <v>2</v>
      </c>
      <c r="BV74">
        <v>2</v>
      </c>
      <c r="BW74">
        <v>4</v>
      </c>
      <c r="BX74">
        <v>2</v>
      </c>
      <c r="BY74">
        <v>2</v>
      </c>
      <c r="BZ74">
        <v>2</v>
      </c>
      <c r="CA74">
        <v>3</v>
      </c>
      <c r="CB74">
        <v>2</v>
      </c>
      <c r="CC74">
        <v>6</v>
      </c>
      <c r="CD74">
        <v>5</v>
      </c>
      <c r="CE74">
        <v>2</v>
      </c>
      <c r="CF74">
        <v>2</v>
      </c>
      <c r="CG74">
        <v>21</v>
      </c>
      <c r="CH74">
        <v>18</v>
      </c>
      <c r="CI74">
        <v>18</v>
      </c>
      <c r="CJ74">
        <v>20</v>
      </c>
      <c r="CK74">
        <v>20</v>
      </c>
      <c r="CL74">
        <v>33</v>
      </c>
      <c r="CM74">
        <v>15</v>
      </c>
      <c r="CN74">
        <v>15</v>
      </c>
      <c r="CO74">
        <v>18</v>
      </c>
      <c r="CP74" s="26">
        <v>13</v>
      </c>
      <c r="CQ74" s="20">
        <v>7</v>
      </c>
      <c r="CR74" s="24">
        <v>24.357142857142858</v>
      </c>
      <c r="CS74" s="24">
        <v>24.999999999999996</v>
      </c>
      <c r="CT74" s="24">
        <v>8.5</v>
      </c>
      <c r="CU74" s="24">
        <v>488.57142857142856</v>
      </c>
      <c r="CV74" s="24">
        <v>450</v>
      </c>
      <c r="CW74" s="24">
        <v>38.571428571428569</v>
      </c>
      <c r="CX74" s="24">
        <v>92.41736168151472</v>
      </c>
      <c r="CY74" s="25">
        <v>0</v>
      </c>
      <c r="CZ74" s="20">
        <v>6</v>
      </c>
      <c r="DA74" s="24">
        <v>23.833333333333332</v>
      </c>
      <c r="DB74" s="24">
        <v>24.697222222222223</v>
      </c>
      <c r="DC74" s="24">
        <v>8.1722222222222225</v>
      </c>
      <c r="DD74" s="24">
        <v>8.6666666666666661</v>
      </c>
      <c r="DE74" s="24">
        <v>530</v>
      </c>
      <c r="DF74" s="24">
        <v>388</v>
      </c>
      <c r="DG74" s="24">
        <v>51.833333333333336</v>
      </c>
      <c r="DH74" s="24">
        <v>74.94</v>
      </c>
      <c r="DI74" s="24">
        <v>60</v>
      </c>
      <c r="DJ74" s="24">
        <v>68.747449166850188</v>
      </c>
      <c r="DK74" s="24">
        <v>83.411388641094263</v>
      </c>
      <c r="DL74" s="25">
        <v>82.984028236560718</v>
      </c>
      <c r="DN74" s="24"/>
      <c r="DO74" s="24"/>
      <c r="DP74" s="24"/>
      <c r="DQ74" s="24"/>
      <c r="DR74" s="24"/>
      <c r="DS74" s="24"/>
      <c r="DT74" s="24"/>
      <c r="DU74" s="25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5"/>
      <c r="EJ74" s="24"/>
      <c r="EK74" s="24"/>
      <c r="EL74" s="24"/>
      <c r="EM74" s="24"/>
      <c r="EN74" s="24"/>
      <c r="EO74" s="24"/>
      <c r="EP74" s="24"/>
      <c r="EQ74" s="25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</row>
    <row r="75" spans="1:160" x14ac:dyDescent="0.25">
      <c r="A75">
        <v>5005</v>
      </c>
      <c r="B75">
        <v>1</v>
      </c>
      <c r="C75">
        <v>21</v>
      </c>
      <c r="D75" s="1">
        <v>1.7</v>
      </c>
      <c r="E75">
        <v>58</v>
      </c>
      <c r="F75">
        <v>20.07</v>
      </c>
      <c r="G75">
        <v>1</v>
      </c>
      <c r="H75">
        <v>9</v>
      </c>
      <c r="I75">
        <v>29</v>
      </c>
      <c r="J75">
        <v>2</v>
      </c>
      <c r="K75">
        <v>1</v>
      </c>
      <c r="L75">
        <v>1</v>
      </c>
      <c r="M75" s="1">
        <v>23.4</v>
      </c>
      <c r="O75" s="1">
        <v>22</v>
      </c>
      <c r="P75" s="1">
        <v>-1.4</v>
      </c>
      <c r="Q75" s="1">
        <v>24.86</v>
      </c>
      <c r="R75" s="1">
        <v>1.46</v>
      </c>
      <c r="S75" s="1">
        <v>21</v>
      </c>
      <c r="T75">
        <v>0</v>
      </c>
      <c r="U75">
        <v>0</v>
      </c>
      <c r="V75">
        <v>0</v>
      </c>
      <c r="W75">
        <v>15</v>
      </c>
      <c r="X75">
        <v>2</v>
      </c>
      <c r="Y75">
        <v>26</v>
      </c>
      <c r="Z75">
        <v>31</v>
      </c>
      <c r="AA75">
        <v>2</v>
      </c>
      <c r="AB75">
        <v>2</v>
      </c>
      <c r="AC75">
        <v>9</v>
      </c>
      <c r="AD75">
        <v>2</v>
      </c>
      <c r="AE75">
        <v>1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1</v>
      </c>
      <c r="AL75">
        <v>3</v>
      </c>
      <c r="AM75">
        <v>1</v>
      </c>
      <c r="AN75">
        <v>8</v>
      </c>
      <c r="AO75">
        <v>10</v>
      </c>
      <c r="AP75">
        <v>8</v>
      </c>
      <c r="AQ75">
        <v>26</v>
      </c>
      <c r="AR75">
        <v>1</v>
      </c>
      <c r="AS75">
        <v>3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4</v>
      </c>
      <c r="BX75">
        <v>2</v>
      </c>
      <c r="BY75">
        <v>2</v>
      </c>
      <c r="BZ75">
        <v>2</v>
      </c>
      <c r="CA75">
        <v>4</v>
      </c>
      <c r="CB75">
        <v>1</v>
      </c>
      <c r="CC75">
        <v>1</v>
      </c>
      <c r="CD75">
        <v>3</v>
      </c>
      <c r="CE75">
        <v>1</v>
      </c>
      <c r="CF75">
        <v>1</v>
      </c>
      <c r="CG75">
        <v>23</v>
      </c>
      <c r="CH75">
        <v>27</v>
      </c>
      <c r="CI75">
        <v>22</v>
      </c>
      <c r="CJ75">
        <v>24</v>
      </c>
      <c r="CK75">
        <v>30</v>
      </c>
      <c r="CL75">
        <v>26</v>
      </c>
      <c r="CM75">
        <v>30</v>
      </c>
      <c r="CN75">
        <v>19</v>
      </c>
      <c r="CO75">
        <v>23</v>
      </c>
      <c r="CP75" s="26">
        <v>20</v>
      </c>
      <c r="CQ75" s="20">
        <v>7</v>
      </c>
      <c r="CR75" s="24">
        <v>24.071428571428573</v>
      </c>
      <c r="CS75" s="24">
        <v>25.238095238095241</v>
      </c>
      <c r="CT75" s="24">
        <v>10.25</v>
      </c>
      <c r="CU75" s="24">
        <v>610.71428571428567</v>
      </c>
      <c r="CV75" s="24">
        <v>540.71428571428567</v>
      </c>
      <c r="CW75" s="24">
        <v>70</v>
      </c>
      <c r="CX75" s="24">
        <v>90.222222222222243</v>
      </c>
      <c r="CY75" s="25">
        <v>0</v>
      </c>
      <c r="CZ75" s="20">
        <v>7</v>
      </c>
      <c r="DA75" s="24">
        <v>24.857142857142858</v>
      </c>
      <c r="DB75" s="24">
        <v>25.4</v>
      </c>
      <c r="DC75" s="24">
        <v>9.7357142857142858</v>
      </c>
      <c r="DD75" s="24">
        <v>10.178571428571429</v>
      </c>
      <c r="DE75" s="24">
        <v>559.28571428571433</v>
      </c>
      <c r="DF75" s="24">
        <v>375.71428571428572</v>
      </c>
      <c r="DG75" s="24">
        <v>32.571428571428569</v>
      </c>
      <c r="DH75" s="24">
        <v>67.154285714285706</v>
      </c>
      <c r="DI75" s="24">
        <v>124.42857142857143</v>
      </c>
      <c r="DJ75" s="24">
        <v>71.052912073920467</v>
      </c>
      <c r="DK75" s="24">
        <v>70.453278281009375</v>
      </c>
      <c r="DL75" s="25">
        <v>68.565868771751127</v>
      </c>
      <c r="DM75" s="20">
        <v>23</v>
      </c>
      <c r="DN75" s="24">
        <v>22.054347826086957</v>
      </c>
      <c r="DO75" s="24">
        <v>24.757246376811597</v>
      </c>
      <c r="DP75" s="24">
        <v>11.64855072463768</v>
      </c>
      <c r="DQ75" s="24">
        <v>815.6521739130435</v>
      </c>
      <c r="DR75" s="24">
        <v>598.9545454545455</v>
      </c>
      <c r="DS75" s="24">
        <v>162.17391304347825</v>
      </c>
      <c r="DT75" s="24">
        <v>74.115867679211973</v>
      </c>
      <c r="DU75" s="25">
        <v>53.31818181818182</v>
      </c>
      <c r="DV75" s="20">
        <v>23</v>
      </c>
      <c r="DW75" s="24">
        <v>24.355263157894736</v>
      </c>
      <c r="DX75" s="24">
        <v>25.30648148148148</v>
      </c>
      <c r="DY75" s="24">
        <v>10.874999999999996</v>
      </c>
      <c r="DZ75" s="24">
        <v>11.679824561403509</v>
      </c>
      <c r="EA75" s="24">
        <v>679.47368421052636</v>
      </c>
      <c r="EB75" s="24">
        <v>433.5</v>
      </c>
      <c r="EC75" s="24">
        <v>433.5</v>
      </c>
      <c r="ED75" s="24">
        <v>65.00611111111111</v>
      </c>
      <c r="EE75" s="24">
        <v>140.61111111111111</v>
      </c>
      <c r="EF75" s="24">
        <v>71.91346496658457</v>
      </c>
      <c r="EG75" s="24">
        <v>70.917432177036645</v>
      </c>
      <c r="EH75" s="25">
        <v>72.083977414117825</v>
      </c>
      <c r="EI75" s="20">
        <v>19</v>
      </c>
      <c r="EJ75" s="24">
        <v>21.94736842105263</v>
      </c>
      <c r="EK75" s="24">
        <v>24.921052631578949</v>
      </c>
      <c r="EL75" s="24">
        <v>11.921052631578947</v>
      </c>
      <c r="EM75" s="24">
        <v>838.42105263157896</v>
      </c>
      <c r="EN75" s="24">
        <v>604.83333333333337</v>
      </c>
      <c r="EO75" s="24">
        <v>178.42105263157896</v>
      </c>
      <c r="EP75" s="24">
        <v>72.795078784264305</v>
      </c>
      <c r="EQ75" s="25">
        <v>54.055555555555557</v>
      </c>
      <c r="ER75" s="20">
        <v>6</v>
      </c>
      <c r="ES75" s="24">
        <v>22</v>
      </c>
      <c r="ET75" s="24">
        <v>23.27</v>
      </c>
      <c r="EU75" s="24">
        <v>9.9966666666666661</v>
      </c>
      <c r="EV75" s="24">
        <v>11.083333333333334</v>
      </c>
      <c r="EW75" s="24">
        <v>785</v>
      </c>
      <c r="EX75" s="24">
        <v>480.6</v>
      </c>
      <c r="EY75" s="24">
        <v>76.2</v>
      </c>
      <c r="EZ75" s="24">
        <v>63.744000000000007</v>
      </c>
      <c r="FA75" s="24">
        <v>163</v>
      </c>
      <c r="FB75" s="24">
        <v>61.061313272982282</v>
      </c>
      <c r="FC75" s="24">
        <v>75.949325513196484</v>
      </c>
      <c r="FD75" s="24">
        <v>71.667984189723327</v>
      </c>
    </row>
    <row r="76" spans="1:160" x14ac:dyDescent="0.25">
      <c r="A76">
        <v>5008</v>
      </c>
      <c r="B76">
        <v>1</v>
      </c>
      <c r="C76">
        <v>52</v>
      </c>
      <c r="D76" s="1">
        <v>1.66</v>
      </c>
      <c r="E76">
        <v>72</v>
      </c>
      <c r="F76">
        <v>26.13</v>
      </c>
      <c r="G76">
        <v>1</v>
      </c>
      <c r="H76">
        <v>15</v>
      </c>
      <c r="I76">
        <v>18</v>
      </c>
      <c r="J76">
        <v>1</v>
      </c>
      <c r="K76">
        <v>3</v>
      </c>
      <c r="L76">
        <v>3</v>
      </c>
      <c r="M76" s="1">
        <v>23</v>
      </c>
      <c r="O76" s="1">
        <v>23</v>
      </c>
      <c r="P76" s="1">
        <v>0</v>
      </c>
      <c r="S76" s="1">
        <v>22</v>
      </c>
      <c r="T76">
        <v>0</v>
      </c>
      <c r="U76">
        <v>1</v>
      </c>
      <c r="V76">
        <v>0</v>
      </c>
      <c r="W76">
        <v>6</v>
      </c>
      <c r="X76">
        <v>1</v>
      </c>
      <c r="Y76">
        <v>2</v>
      </c>
      <c r="Z76">
        <v>3</v>
      </c>
      <c r="AA76">
        <v>1</v>
      </c>
      <c r="AB76">
        <v>1</v>
      </c>
      <c r="AC76">
        <v>8</v>
      </c>
      <c r="AD76">
        <v>2</v>
      </c>
      <c r="AE76">
        <v>1</v>
      </c>
      <c r="AF76">
        <v>3</v>
      </c>
      <c r="AG76">
        <v>1</v>
      </c>
      <c r="AH76">
        <v>3</v>
      </c>
      <c r="AI76">
        <v>1</v>
      </c>
      <c r="AJ76">
        <v>0</v>
      </c>
      <c r="AK76">
        <v>1</v>
      </c>
      <c r="AL76">
        <v>10</v>
      </c>
      <c r="AM76">
        <v>2</v>
      </c>
      <c r="AN76">
        <v>7</v>
      </c>
      <c r="AO76">
        <v>2</v>
      </c>
      <c r="AP76">
        <v>4</v>
      </c>
      <c r="AQ76">
        <v>13</v>
      </c>
      <c r="AR76">
        <v>1</v>
      </c>
      <c r="AS76">
        <v>3</v>
      </c>
      <c r="AT76">
        <v>6</v>
      </c>
      <c r="AU76">
        <v>1</v>
      </c>
      <c r="AV76">
        <v>2</v>
      </c>
      <c r="AW76">
        <v>3</v>
      </c>
      <c r="AX76">
        <v>1</v>
      </c>
      <c r="AY76">
        <v>1</v>
      </c>
      <c r="AZ76">
        <v>8</v>
      </c>
      <c r="BA76">
        <v>2</v>
      </c>
      <c r="BB76">
        <v>1</v>
      </c>
      <c r="BC76">
        <v>3</v>
      </c>
      <c r="BD76">
        <v>1</v>
      </c>
      <c r="BE76">
        <v>2</v>
      </c>
      <c r="BF76">
        <v>1</v>
      </c>
      <c r="BG76">
        <v>0</v>
      </c>
      <c r="BH76">
        <v>1</v>
      </c>
      <c r="BI76">
        <v>9</v>
      </c>
      <c r="BJ76">
        <v>2</v>
      </c>
      <c r="BK76">
        <v>7</v>
      </c>
      <c r="BL76">
        <v>2</v>
      </c>
      <c r="BM76">
        <v>4</v>
      </c>
      <c r="BN76">
        <v>13</v>
      </c>
      <c r="BO76">
        <v>0</v>
      </c>
      <c r="BP76">
        <v>4</v>
      </c>
      <c r="BQ76">
        <v>6</v>
      </c>
      <c r="BR76">
        <v>2</v>
      </c>
      <c r="BS76">
        <v>2</v>
      </c>
      <c r="BT76">
        <v>5</v>
      </c>
      <c r="BU76">
        <v>2</v>
      </c>
      <c r="BV76">
        <v>2</v>
      </c>
      <c r="BW76">
        <v>3</v>
      </c>
      <c r="BX76">
        <v>2</v>
      </c>
      <c r="BY76">
        <v>1</v>
      </c>
      <c r="BZ76">
        <v>2</v>
      </c>
      <c r="CA76">
        <v>2</v>
      </c>
      <c r="CB76">
        <v>1</v>
      </c>
      <c r="CC76">
        <v>9</v>
      </c>
      <c r="CD76">
        <v>4</v>
      </c>
      <c r="CE76">
        <v>2</v>
      </c>
      <c r="CF76">
        <v>1</v>
      </c>
      <c r="CG76">
        <v>23</v>
      </c>
      <c r="CH76">
        <v>30</v>
      </c>
      <c r="CI76">
        <v>22</v>
      </c>
      <c r="CJ76">
        <v>22</v>
      </c>
      <c r="CK76">
        <v>27</v>
      </c>
      <c r="CL76">
        <v>21</v>
      </c>
      <c r="CM76">
        <v>20</v>
      </c>
      <c r="CN76">
        <v>12</v>
      </c>
      <c r="CO76">
        <v>17</v>
      </c>
      <c r="CP76" s="26">
        <v>16</v>
      </c>
      <c r="CQ76" s="20">
        <v>7</v>
      </c>
      <c r="CR76" s="24">
        <v>25.714285714285715</v>
      </c>
      <c r="CS76" s="24">
        <v>27.952380952380953</v>
      </c>
      <c r="CT76" s="24">
        <v>9.9880952380952372</v>
      </c>
      <c r="CU76" s="24">
        <v>496.42857142857144</v>
      </c>
      <c r="CV76" s="24">
        <v>349.28571428571428</v>
      </c>
      <c r="CW76" s="24">
        <v>134.28571428571428</v>
      </c>
      <c r="CX76" s="24">
        <v>69.983003670911089</v>
      </c>
      <c r="CY76" s="25">
        <v>12.857142857142858</v>
      </c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5"/>
      <c r="DM76" s="20">
        <v>18</v>
      </c>
      <c r="DN76" s="24">
        <v>23.041666666666664</v>
      </c>
      <c r="DO76" s="24">
        <v>26.805555555555554</v>
      </c>
      <c r="DP76" s="24">
        <v>8.5</v>
      </c>
      <c r="DQ76" s="24">
        <v>567.5</v>
      </c>
      <c r="DR76" s="24">
        <v>306.76470588235293</v>
      </c>
      <c r="DS76" s="24">
        <v>225.83333333333334</v>
      </c>
      <c r="DT76" s="24">
        <v>53.737289439826817</v>
      </c>
      <c r="DU76" s="25">
        <v>51.176470588235297</v>
      </c>
      <c r="DV76" s="20">
        <v>18</v>
      </c>
      <c r="DW76" s="24">
        <v>23.041666666666664</v>
      </c>
      <c r="DX76" s="24">
        <v>23.274999999999999</v>
      </c>
      <c r="DY76" s="24">
        <v>8.4370370370370367</v>
      </c>
      <c r="DZ76" s="24">
        <v>8.5</v>
      </c>
      <c r="EA76" s="24">
        <v>567.5</v>
      </c>
      <c r="EB76" s="24">
        <v>507.72222222222223</v>
      </c>
      <c r="EC76" s="24">
        <v>507.72222222222223</v>
      </c>
      <c r="ED76" s="24">
        <v>89.439444444444462</v>
      </c>
      <c r="EE76" s="24">
        <v>42</v>
      </c>
      <c r="EF76" s="24">
        <v>86.640319941037717</v>
      </c>
      <c r="EG76" s="24">
        <v>92.642023685659979</v>
      </c>
      <c r="EH76" s="25">
        <v>92.583320779594871</v>
      </c>
      <c r="EI76" s="20">
        <v>18</v>
      </c>
      <c r="EJ76" s="24">
        <v>23.041666666666664</v>
      </c>
      <c r="EK76" s="24">
        <v>26.805555555555554</v>
      </c>
      <c r="EL76" s="24">
        <v>8.5</v>
      </c>
      <c r="EM76" s="24">
        <v>567.5</v>
      </c>
      <c r="EN76" s="24">
        <v>306.76470588235293</v>
      </c>
      <c r="EO76" s="24">
        <v>225.83333333333334</v>
      </c>
      <c r="EP76" s="24">
        <v>53.737289439826817</v>
      </c>
      <c r="EQ76" s="25">
        <v>51.176470588235297</v>
      </c>
      <c r="ER76" s="20">
        <v>18</v>
      </c>
      <c r="ES76" s="24">
        <v>23.041666666666664</v>
      </c>
      <c r="ET76" s="24">
        <v>23.274999999999999</v>
      </c>
      <c r="EU76" s="24">
        <v>8.4370370370370367</v>
      </c>
      <c r="EV76" s="24">
        <v>8.5</v>
      </c>
      <c r="EW76" s="24">
        <v>567.5</v>
      </c>
      <c r="EX76" s="24">
        <v>507.72222222222223</v>
      </c>
      <c r="EY76" s="24">
        <v>14</v>
      </c>
      <c r="EZ76" s="24">
        <v>89.439444444444462</v>
      </c>
      <c r="FA76" s="24">
        <v>42</v>
      </c>
      <c r="FB76" s="24">
        <v>86.640319941037717</v>
      </c>
      <c r="FC76" s="24">
        <v>92.642023685659979</v>
      </c>
      <c r="FD76" s="24">
        <v>92.583320779594871</v>
      </c>
    </row>
    <row r="77" spans="1:160" x14ac:dyDescent="0.25">
      <c r="A77">
        <v>5012</v>
      </c>
      <c r="B77">
        <v>2</v>
      </c>
      <c r="C77">
        <v>22</v>
      </c>
      <c r="D77" s="1">
        <v>1.67</v>
      </c>
      <c r="E77">
        <v>69</v>
      </c>
      <c r="F77">
        <v>24.74</v>
      </c>
      <c r="G77">
        <v>1</v>
      </c>
      <c r="H77">
        <v>11</v>
      </c>
      <c r="I77">
        <v>22</v>
      </c>
      <c r="J77">
        <v>1</v>
      </c>
      <c r="K77">
        <v>2</v>
      </c>
      <c r="L77">
        <v>3</v>
      </c>
      <c r="M77" s="1">
        <v>23.5</v>
      </c>
      <c r="O77" s="1">
        <v>22</v>
      </c>
      <c r="P77" s="1">
        <v>-1.5</v>
      </c>
      <c r="Q77" s="1">
        <v>23.8</v>
      </c>
      <c r="R77" s="1">
        <v>0.3</v>
      </c>
      <c r="S77" s="1">
        <v>21</v>
      </c>
      <c r="T77">
        <v>0</v>
      </c>
      <c r="U77">
        <v>2</v>
      </c>
      <c r="V77">
        <v>0</v>
      </c>
      <c r="W77">
        <v>4</v>
      </c>
      <c r="X77">
        <v>1</v>
      </c>
      <c r="Y77">
        <v>8</v>
      </c>
      <c r="Z77">
        <v>1</v>
      </c>
      <c r="AA77">
        <v>1</v>
      </c>
      <c r="AB77">
        <v>1</v>
      </c>
      <c r="AC77">
        <v>3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2</v>
      </c>
      <c r="AM77">
        <v>1</v>
      </c>
      <c r="AN77">
        <v>3</v>
      </c>
      <c r="AO77">
        <v>1</v>
      </c>
      <c r="AP77">
        <v>1</v>
      </c>
      <c r="AQ77">
        <v>5</v>
      </c>
      <c r="AR77">
        <v>8</v>
      </c>
      <c r="AS77">
        <v>8</v>
      </c>
      <c r="AT77">
        <v>2</v>
      </c>
      <c r="AU77">
        <v>1</v>
      </c>
      <c r="AV77">
        <v>3</v>
      </c>
      <c r="AW77">
        <v>3</v>
      </c>
      <c r="AX77">
        <v>1</v>
      </c>
      <c r="AY77">
        <v>1</v>
      </c>
      <c r="AZ77">
        <v>10</v>
      </c>
      <c r="BA77">
        <v>2</v>
      </c>
      <c r="BB77">
        <v>0</v>
      </c>
      <c r="BC77">
        <v>1</v>
      </c>
      <c r="BD77">
        <v>0</v>
      </c>
      <c r="BE77">
        <v>1</v>
      </c>
      <c r="BF77">
        <v>1</v>
      </c>
      <c r="BG77">
        <v>0</v>
      </c>
      <c r="BH77">
        <v>0</v>
      </c>
      <c r="BI77">
        <v>3</v>
      </c>
      <c r="BJ77">
        <v>1</v>
      </c>
      <c r="BK77">
        <v>5</v>
      </c>
      <c r="BL77">
        <v>0</v>
      </c>
      <c r="BM77">
        <v>0</v>
      </c>
      <c r="BN77">
        <v>5</v>
      </c>
      <c r="BO77">
        <v>1</v>
      </c>
      <c r="BP77">
        <v>2</v>
      </c>
      <c r="BQ77">
        <v>4</v>
      </c>
      <c r="BR77">
        <v>2</v>
      </c>
      <c r="BS77">
        <v>2</v>
      </c>
      <c r="BT77">
        <v>4</v>
      </c>
      <c r="BU77">
        <v>2</v>
      </c>
      <c r="BV77">
        <v>2</v>
      </c>
      <c r="BW77">
        <v>3</v>
      </c>
      <c r="BX77">
        <v>2</v>
      </c>
      <c r="BY77">
        <v>1</v>
      </c>
      <c r="BZ77">
        <v>2</v>
      </c>
      <c r="CA77">
        <v>2</v>
      </c>
      <c r="CB77">
        <v>1</v>
      </c>
      <c r="CC77">
        <v>9</v>
      </c>
      <c r="CD77">
        <v>1</v>
      </c>
      <c r="CE77">
        <v>1</v>
      </c>
      <c r="CF77">
        <v>1</v>
      </c>
      <c r="CG77">
        <v>18</v>
      </c>
      <c r="CH77">
        <v>17</v>
      </c>
      <c r="CI77">
        <v>16</v>
      </c>
      <c r="CJ77">
        <v>27</v>
      </c>
      <c r="CK77">
        <v>14</v>
      </c>
      <c r="CL77">
        <v>23</v>
      </c>
      <c r="CM77">
        <v>13</v>
      </c>
      <c r="CN77">
        <v>18</v>
      </c>
      <c r="CO77">
        <v>23</v>
      </c>
      <c r="CP77" s="26">
        <v>23</v>
      </c>
      <c r="CQ77" s="20">
        <v>7</v>
      </c>
      <c r="CR77" s="24">
        <v>23.797619047619044</v>
      </c>
      <c r="CS77" s="24">
        <v>24.226190476190474</v>
      </c>
      <c r="CT77" s="24">
        <v>7.7142857142857135</v>
      </c>
      <c r="CU77" s="24">
        <v>475</v>
      </c>
      <c r="CV77" s="24">
        <v>447.85714285714283</v>
      </c>
      <c r="CW77" s="24">
        <v>25.714285714285715</v>
      </c>
      <c r="CX77" s="24">
        <v>94.049017307135728</v>
      </c>
      <c r="CY77" s="25">
        <v>1.4285714285714286</v>
      </c>
      <c r="CZ77" s="20">
        <v>7</v>
      </c>
      <c r="DA77" s="24">
        <v>23.797619047619044</v>
      </c>
      <c r="DB77" s="24">
        <v>24.404761904761902</v>
      </c>
      <c r="DC77" s="24">
        <v>7.9880952380952381</v>
      </c>
      <c r="DD77" s="24">
        <v>8.2857142857142847</v>
      </c>
      <c r="DE77" s="24">
        <v>509.28571428571428</v>
      </c>
      <c r="DF77" s="24">
        <v>394.14285714285717</v>
      </c>
      <c r="DG77" s="24">
        <v>36.428571428571431</v>
      </c>
      <c r="DH77" s="24">
        <v>77.308571428571426</v>
      </c>
      <c r="DI77" s="24">
        <v>60.857142857142854</v>
      </c>
      <c r="DJ77" s="24">
        <v>76.601828579431384</v>
      </c>
      <c r="DK77" s="24">
        <v>86.659674771387245</v>
      </c>
      <c r="DL77" s="25">
        <v>82.151289356759889</v>
      </c>
      <c r="DN77" s="24"/>
      <c r="DO77" s="24"/>
      <c r="DP77" s="24"/>
      <c r="DQ77" s="24"/>
      <c r="DR77" s="24"/>
      <c r="DS77" s="24"/>
      <c r="DT77" s="24"/>
      <c r="DU77" s="25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5"/>
      <c r="EJ77" s="24"/>
      <c r="EK77" s="24"/>
      <c r="EL77" s="24"/>
      <c r="EM77" s="24"/>
      <c r="EN77" s="24"/>
      <c r="EO77" s="24"/>
      <c r="EP77" s="24"/>
      <c r="EQ77" s="25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</row>
    <row r="78" spans="1:160" x14ac:dyDescent="0.25">
      <c r="A78">
        <v>5016</v>
      </c>
      <c r="B78">
        <v>1</v>
      </c>
      <c r="C78">
        <v>24</v>
      </c>
      <c r="D78" s="1">
        <v>1.85</v>
      </c>
      <c r="E78">
        <v>100</v>
      </c>
      <c r="F78">
        <v>29.22</v>
      </c>
      <c r="G78">
        <v>2</v>
      </c>
      <c r="H78">
        <v>16</v>
      </c>
      <c r="I78">
        <v>21</v>
      </c>
      <c r="J78">
        <v>1</v>
      </c>
      <c r="K78">
        <v>2</v>
      </c>
      <c r="L78">
        <v>3</v>
      </c>
      <c r="M78" s="1">
        <v>22.7</v>
      </c>
      <c r="O78" s="1">
        <v>22</v>
      </c>
      <c r="P78" s="1">
        <v>-0.7</v>
      </c>
      <c r="Q78" s="1">
        <v>27.5</v>
      </c>
      <c r="R78" s="1">
        <v>4.8</v>
      </c>
      <c r="S78" s="1">
        <v>21</v>
      </c>
      <c r="T78">
        <v>0</v>
      </c>
      <c r="U78">
        <v>4</v>
      </c>
      <c r="V78">
        <v>0</v>
      </c>
      <c r="W78">
        <v>4</v>
      </c>
      <c r="X78">
        <v>1</v>
      </c>
      <c r="BQ78">
        <v>4</v>
      </c>
      <c r="BR78">
        <v>2</v>
      </c>
      <c r="BS78">
        <v>2</v>
      </c>
      <c r="BT78">
        <v>2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4</v>
      </c>
      <c r="CB78">
        <v>1</v>
      </c>
      <c r="CC78">
        <v>1</v>
      </c>
      <c r="CD78">
        <v>6</v>
      </c>
      <c r="CE78">
        <v>2</v>
      </c>
      <c r="CF78">
        <v>2</v>
      </c>
      <c r="CG78">
        <v>27</v>
      </c>
      <c r="CH78">
        <v>18</v>
      </c>
      <c r="CI78">
        <v>23</v>
      </c>
      <c r="CJ78">
        <v>18</v>
      </c>
      <c r="CK78">
        <v>18</v>
      </c>
      <c r="CL78">
        <v>27</v>
      </c>
      <c r="CM78">
        <v>11</v>
      </c>
      <c r="CN78">
        <v>35</v>
      </c>
      <c r="CO78">
        <v>9</v>
      </c>
      <c r="CP78" s="26">
        <v>10</v>
      </c>
      <c r="CQ78" s="20">
        <v>6</v>
      </c>
      <c r="CR78" s="24">
        <v>26.666666666666668</v>
      </c>
      <c r="CS78" s="24">
        <v>27.166666666666668</v>
      </c>
      <c r="CT78" s="24">
        <v>10.166666666666666</v>
      </c>
      <c r="CU78" s="24">
        <v>450</v>
      </c>
      <c r="CV78" s="24">
        <v>418.33333333333331</v>
      </c>
      <c r="CW78" s="24">
        <v>30</v>
      </c>
      <c r="CX78" s="24">
        <v>92.407407407407391</v>
      </c>
      <c r="CY78" s="25">
        <v>1.6666666666666667</v>
      </c>
      <c r="CZ78" s="20">
        <v>6</v>
      </c>
      <c r="DA78" s="24">
        <v>27.5</v>
      </c>
      <c r="DB78" s="24">
        <v>27.874999999999996</v>
      </c>
      <c r="DC78" s="24">
        <v>9.3666666666666654</v>
      </c>
      <c r="DD78" s="24">
        <v>9.6666666666666661</v>
      </c>
      <c r="DE78" s="24">
        <v>370</v>
      </c>
      <c r="DF78" s="24">
        <v>273.16666666666669</v>
      </c>
      <c r="DG78" s="24">
        <v>22.5</v>
      </c>
      <c r="DH78" s="24">
        <v>71.473333333333343</v>
      </c>
      <c r="DI78" s="24">
        <v>56.333333333333336</v>
      </c>
      <c r="DJ78" s="24">
        <v>76.365740740740748</v>
      </c>
      <c r="DK78" s="24">
        <v>84.560185185185176</v>
      </c>
      <c r="DL78" s="25">
        <v>76.828703703703709</v>
      </c>
      <c r="DM78" s="20">
        <v>9</v>
      </c>
      <c r="DN78" s="24">
        <v>22</v>
      </c>
      <c r="DO78" s="24">
        <v>22.777777777777779</v>
      </c>
      <c r="DP78" s="24">
        <v>8.5555555555555554</v>
      </c>
      <c r="DQ78" s="24">
        <v>633.33333333333337</v>
      </c>
      <c r="DR78" s="24">
        <v>584.44444444444446</v>
      </c>
      <c r="DS78" s="24">
        <v>46.666666666666664</v>
      </c>
      <c r="DT78" s="24">
        <v>92.319733547803708</v>
      </c>
      <c r="DU78" s="25">
        <v>2.2222222222222223</v>
      </c>
      <c r="DV78" s="20">
        <v>9</v>
      </c>
      <c r="DW78" s="24">
        <v>22.333333333333332</v>
      </c>
      <c r="DX78" s="24">
        <v>23.472222222222218</v>
      </c>
      <c r="DY78" s="24">
        <v>8.1925925925925931</v>
      </c>
      <c r="DZ78" s="24">
        <v>8.5555555555555554</v>
      </c>
      <c r="EA78" s="24">
        <v>613.33333333333337</v>
      </c>
      <c r="EB78" s="24">
        <v>427.22222222222223</v>
      </c>
      <c r="EC78" s="24">
        <v>427.22222222222223</v>
      </c>
      <c r="ED78" s="24">
        <v>70.531111111111102</v>
      </c>
      <c r="EE78" s="24">
        <v>96</v>
      </c>
      <c r="EF78" s="24">
        <v>71.157407407407419</v>
      </c>
      <c r="EG78" s="24">
        <v>83.693144899285258</v>
      </c>
      <c r="EH78" s="25">
        <v>75.648960363872646</v>
      </c>
      <c r="EI78" s="20">
        <v>9</v>
      </c>
      <c r="EJ78" s="24">
        <v>22</v>
      </c>
      <c r="EK78" s="24">
        <v>22.777777777777779</v>
      </c>
      <c r="EL78" s="24">
        <v>8.5555555555555554</v>
      </c>
      <c r="EM78" s="24">
        <v>633.33333333333337</v>
      </c>
      <c r="EN78" s="24">
        <v>584.44444444444446</v>
      </c>
      <c r="EO78" s="24">
        <v>46.666666666666664</v>
      </c>
      <c r="EP78" s="24">
        <v>92.319733547803708</v>
      </c>
      <c r="EQ78" s="25">
        <v>2.2222222222222223</v>
      </c>
      <c r="ER78" s="20">
        <v>7</v>
      </c>
      <c r="ES78" s="24">
        <v>22</v>
      </c>
      <c r="ET78" s="24">
        <v>23.426190476190474</v>
      </c>
      <c r="EU78" s="24">
        <v>8.5357142857142865</v>
      </c>
      <c r="EV78" s="24">
        <v>8.8571428571428577</v>
      </c>
      <c r="EW78" s="24">
        <v>651.42857142857144</v>
      </c>
      <c r="EX78" s="24">
        <v>446.28571428571428</v>
      </c>
      <c r="EY78" s="24">
        <v>85.571428571428569</v>
      </c>
      <c r="EZ78" s="24">
        <v>69.224285714285713</v>
      </c>
      <c r="FA78" s="24">
        <v>100.28571428571429</v>
      </c>
      <c r="FB78" s="24">
        <v>67.738095238095255</v>
      </c>
      <c r="FC78" s="24">
        <v>83.855472013366764</v>
      </c>
      <c r="FD78" s="24">
        <v>76.727234753550547</v>
      </c>
    </row>
    <row r="79" spans="1:160" x14ac:dyDescent="0.25">
      <c r="A79">
        <v>5021</v>
      </c>
      <c r="B79">
        <v>2</v>
      </c>
      <c r="C79">
        <v>19</v>
      </c>
      <c r="D79" s="1">
        <v>1.6</v>
      </c>
      <c r="E79">
        <v>80</v>
      </c>
      <c r="F79">
        <v>31.25</v>
      </c>
      <c r="G79">
        <v>2</v>
      </c>
      <c r="H79">
        <v>14</v>
      </c>
      <c r="I79">
        <v>27</v>
      </c>
      <c r="J79">
        <v>2</v>
      </c>
      <c r="K79">
        <v>2</v>
      </c>
      <c r="L79">
        <v>3</v>
      </c>
      <c r="M79" s="1">
        <v>22.28</v>
      </c>
      <c r="O79" s="1">
        <v>22.5</v>
      </c>
      <c r="P79" s="1">
        <v>0.22</v>
      </c>
      <c r="Q79" s="1">
        <v>24.71</v>
      </c>
      <c r="R79" s="1">
        <v>2.4300000000000002</v>
      </c>
      <c r="S79" s="1">
        <v>21.5</v>
      </c>
      <c r="T79">
        <v>0</v>
      </c>
      <c r="U79">
        <v>2</v>
      </c>
      <c r="V79">
        <v>0</v>
      </c>
      <c r="W79">
        <v>6</v>
      </c>
      <c r="X79">
        <v>1</v>
      </c>
      <c r="Y79">
        <v>45</v>
      </c>
      <c r="Z79">
        <v>51</v>
      </c>
      <c r="AA79">
        <v>2</v>
      </c>
      <c r="AB79">
        <v>2</v>
      </c>
      <c r="AC79">
        <v>19</v>
      </c>
      <c r="AD79">
        <v>3</v>
      </c>
      <c r="AE79">
        <v>3</v>
      </c>
      <c r="AF79">
        <v>3</v>
      </c>
      <c r="AG79">
        <v>2</v>
      </c>
      <c r="AH79">
        <v>0</v>
      </c>
      <c r="AI79">
        <v>1</v>
      </c>
      <c r="AJ79">
        <v>0</v>
      </c>
      <c r="AK79">
        <v>1</v>
      </c>
      <c r="AL79">
        <v>10</v>
      </c>
      <c r="AM79">
        <v>2</v>
      </c>
      <c r="AN79">
        <v>8</v>
      </c>
      <c r="AO79">
        <v>3</v>
      </c>
      <c r="AP79">
        <v>3</v>
      </c>
      <c r="AQ79">
        <v>14</v>
      </c>
      <c r="AR79">
        <v>1</v>
      </c>
      <c r="AS79">
        <v>5</v>
      </c>
      <c r="AT79">
        <v>4</v>
      </c>
      <c r="AU79">
        <v>1</v>
      </c>
      <c r="AV79">
        <v>31</v>
      </c>
      <c r="AW79">
        <v>42</v>
      </c>
      <c r="AX79">
        <v>2</v>
      </c>
      <c r="AY79">
        <v>2</v>
      </c>
      <c r="AZ79">
        <v>11</v>
      </c>
      <c r="BA79">
        <v>2</v>
      </c>
      <c r="BB79">
        <v>2</v>
      </c>
      <c r="BC79">
        <v>2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8</v>
      </c>
      <c r="BJ79">
        <v>2</v>
      </c>
      <c r="BK79">
        <v>5</v>
      </c>
      <c r="BL79">
        <v>4</v>
      </c>
      <c r="BM79">
        <v>3</v>
      </c>
      <c r="BN79">
        <v>12</v>
      </c>
      <c r="BO79">
        <v>0</v>
      </c>
      <c r="BP79">
        <v>3</v>
      </c>
      <c r="BQ79">
        <v>4</v>
      </c>
      <c r="BR79">
        <v>2</v>
      </c>
      <c r="BS79">
        <v>2</v>
      </c>
      <c r="BT79">
        <v>3</v>
      </c>
      <c r="BU79">
        <v>2</v>
      </c>
      <c r="BV79">
        <v>1</v>
      </c>
      <c r="BW79">
        <v>3</v>
      </c>
      <c r="BX79">
        <v>2</v>
      </c>
      <c r="BY79">
        <v>1</v>
      </c>
      <c r="BZ79">
        <v>2</v>
      </c>
      <c r="CA79">
        <v>2</v>
      </c>
      <c r="CB79">
        <v>2</v>
      </c>
      <c r="CC79">
        <v>10</v>
      </c>
      <c r="CD79">
        <v>2</v>
      </c>
      <c r="CE79">
        <v>1</v>
      </c>
      <c r="CF79">
        <v>2</v>
      </c>
      <c r="CG79">
        <v>27</v>
      </c>
      <c r="CH79">
        <v>26</v>
      </c>
      <c r="CI79">
        <v>27</v>
      </c>
      <c r="CJ79">
        <v>29</v>
      </c>
      <c r="CK79">
        <v>27</v>
      </c>
      <c r="CL79">
        <v>32</v>
      </c>
      <c r="CM79">
        <v>11</v>
      </c>
      <c r="CN79">
        <v>14</v>
      </c>
      <c r="CO79">
        <v>14</v>
      </c>
      <c r="CP79" s="26">
        <v>14</v>
      </c>
      <c r="CQ79" s="20">
        <v>7</v>
      </c>
      <c r="CR79" s="24">
        <v>24.714285714285715</v>
      </c>
      <c r="CS79" s="24">
        <v>25.107142857142861</v>
      </c>
      <c r="CT79" s="24">
        <v>8.2023809523809526</v>
      </c>
      <c r="CU79" s="24">
        <v>449.28571428571428</v>
      </c>
      <c r="CV79" s="24">
        <v>425</v>
      </c>
      <c r="CW79" s="24">
        <v>23.571428571428573</v>
      </c>
      <c r="CX79" s="24">
        <v>94.182371533856681</v>
      </c>
      <c r="CY79" s="25">
        <v>0.7142857142857143</v>
      </c>
      <c r="CZ79" s="20">
        <v>7</v>
      </c>
      <c r="DA79" s="24">
        <v>24.714285714285715</v>
      </c>
      <c r="DB79" s="24">
        <v>24.909523809523808</v>
      </c>
      <c r="DC79" s="24">
        <v>8.1166666666666654</v>
      </c>
      <c r="DD79" s="24">
        <v>8.2023809523809526</v>
      </c>
      <c r="DE79" s="24">
        <v>449.28571428571428</v>
      </c>
      <c r="DF79" s="24">
        <v>403.85714285714283</v>
      </c>
      <c r="DG79" s="24">
        <v>11.714285714285714</v>
      </c>
      <c r="DH79" s="24">
        <v>89.662857142857121</v>
      </c>
      <c r="DI79" s="24">
        <v>28.571428571428573</v>
      </c>
      <c r="DJ79" s="24">
        <v>89.121593291404608</v>
      </c>
      <c r="DK79" s="24">
        <v>93.092010363307864</v>
      </c>
      <c r="DL79" s="25">
        <v>93.220025367872935</v>
      </c>
      <c r="DM79" s="20">
        <v>19</v>
      </c>
      <c r="DN79" s="24">
        <v>22.67982456140351</v>
      </c>
      <c r="DO79" s="24">
        <v>23.263157894736842</v>
      </c>
      <c r="DP79" s="24">
        <v>8.219298245614036</v>
      </c>
      <c r="DQ79" s="24">
        <v>572.36842105263156</v>
      </c>
      <c r="DR79" s="24">
        <v>536.42105263157896</v>
      </c>
      <c r="DS79" s="24">
        <v>35</v>
      </c>
      <c r="DT79" s="24">
        <v>93.760534078067991</v>
      </c>
      <c r="DU79" s="25">
        <v>0.94736842105263153</v>
      </c>
      <c r="DV79" s="20">
        <v>19</v>
      </c>
      <c r="DW79" s="24">
        <v>22.67982456140351</v>
      </c>
      <c r="DX79" s="24">
        <v>23.085087719298247</v>
      </c>
      <c r="DY79" s="24">
        <v>7.9728070175438592</v>
      </c>
      <c r="DZ79" s="24">
        <v>8.219298245614036</v>
      </c>
      <c r="EA79" s="24">
        <v>572.36842105263156</v>
      </c>
      <c r="EB79" s="24">
        <v>483.73684210526318</v>
      </c>
      <c r="EC79" s="24">
        <v>483.73684210526318</v>
      </c>
      <c r="ED79" s="24">
        <v>85.026315789473685</v>
      </c>
      <c r="EE79" s="24">
        <v>48.473684210526315</v>
      </c>
      <c r="EF79" s="24">
        <v>82.312202613799428</v>
      </c>
      <c r="EG79" s="24">
        <v>91.3968137888711</v>
      </c>
      <c r="EH79" s="25">
        <v>90.700357058063673</v>
      </c>
      <c r="EI79" s="20">
        <v>19</v>
      </c>
      <c r="EJ79" s="24">
        <v>22.67982456140351</v>
      </c>
      <c r="EK79" s="24">
        <v>23.263157894736842</v>
      </c>
      <c r="EL79" s="24">
        <v>8.219298245614036</v>
      </c>
      <c r="EM79" s="24">
        <v>572.36842105263156</v>
      </c>
      <c r="EN79" s="24">
        <v>536.42105263157896</v>
      </c>
      <c r="EO79" s="24">
        <v>35</v>
      </c>
      <c r="EP79" s="24">
        <v>93.760534078067991</v>
      </c>
      <c r="EQ79" s="25">
        <v>0.94736842105263153</v>
      </c>
      <c r="ER79" s="20">
        <v>19</v>
      </c>
      <c r="ES79" s="24">
        <v>22.67982456140351</v>
      </c>
      <c r="ET79" s="24">
        <v>23.085087719298247</v>
      </c>
      <c r="EU79" s="24">
        <v>7.9728070175438592</v>
      </c>
      <c r="EV79" s="24">
        <v>8.219298245614036</v>
      </c>
      <c r="EW79" s="24">
        <v>572.36842105263156</v>
      </c>
      <c r="EX79" s="24">
        <v>483.73684210526318</v>
      </c>
      <c r="EY79" s="24">
        <v>24.315789473684209</v>
      </c>
      <c r="EZ79" s="24">
        <v>85.026315789473685</v>
      </c>
      <c r="FA79" s="24">
        <v>48.473684210526315</v>
      </c>
      <c r="FB79" s="24">
        <v>82.312202613799428</v>
      </c>
      <c r="FC79" s="24">
        <v>91.3968137888711</v>
      </c>
      <c r="FD79" s="24">
        <v>90.700357058063673</v>
      </c>
    </row>
    <row r="80" spans="1:160" x14ac:dyDescent="0.25">
      <c r="A80">
        <v>5024</v>
      </c>
      <c r="B80">
        <v>2</v>
      </c>
      <c r="C80">
        <v>23</v>
      </c>
      <c r="D80" s="1">
        <v>1.61</v>
      </c>
      <c r="E80">
        <v>53</v>
      </c>
      <c r="F80">
        <v>20.45</v>
      </c>
      <c r="G80">
        <v>2</v>
      </c>
      <c r="H80">
        <v>12</v>
      </c>
      <c r="I80">
        <v>21</v>
      </c>
      <c r="J80">
        <v>1</v>
      </c>
      <c r="K80">
        <v>2</v>
      </c>
      <c r="L80">
        <v>3</v>
      </c>
      <c r="M80" s="1">
        <v>25.13</v>
      </c>
      <c r="O80" s="1">
        <v>23</v>
      </c>
      <c r="P80" s="1">
        <v>-2.13</v>
      </c>
      <c r="Q80" s="1">
        <v>25.82</v>
      </c>
      <c r="R80" s="1">
        <v>0.69</v>
      </c>
      <c r="S80" s="1">
        <v>22</v>
      </c>
      <c r="T80">
        <v>0</v>
      </c>
      <c r="U80">
        <v>0</v>
      </c>
      <c r="V80">
        <v>0</v>
      </c>
      <c r="W80">
        <v>8</v>
      </c>
      <c r="X80">
        <v>1</v>
      </c>
      <c r="Y80">
        <v>2</v>
      </c>
      <c r="Z80">
        <v>2</v>
      </c>
      <c r="AA80">
        <v>1</v>
      </c>
      <c r="AB80">
        <v>1</v>
      </c>
      <c r="AC80">
        <v>8</v>
      </c>
      <c r="AD80">
        <v>2</v>
      </c>
      <c r="AE80">
        <v>1</v>
      </c>
      <c r="AF80">
        <v>2</v>
      </c>
      <c r="AG80">
        <v>2</v>
      </c>
      <c r="AH80">
        <v>0</v>
      </c>
      <c r="AI80">
        <v>1</v>
      </c>
      <c r="AJ80">
        <v>0</v>
      </c>
      <c r="AK80">
        <v>1</v>
      </c>
      <c r="AL80">
        <v>7</v>
      </c>
      <c r="AM80">
        <v>2</v>
      </c>
      <c r="AN80">
        <v>3</v>
      </c>
      <c r="AO80">
        <v>1</v>
      </c>
      <c r="AP80">
        <v>1</v>
      </c>
      <c r="AQ80">
        <v>5</v>
      </c>
      <c r="AR80">
        <v>1</v>
      </c>
      <c r="AS80">
        <v>3</v>
      </c>
      <c r="AT80">
        <v>1</v>
      </c>
      <c r="AU80">
        <v>1</v>
      </c>
      <c r="AV80">
        <v>0</v>
      </c>
      <c r="AW80">
        <v>1</v>
      </c>
      <c r="AX80">
        <v>1</v>
      </c>
      <c r="AY80">
        <v>1</v>
      </c>
      <c r="AZ80">
        <v>7</v>
      </c>
      <c r="BA80">
        <v>1</v>
      </c>
      <c r="BB80">
        <v>1</v>
      </c>
      <c r="BC80">
        <v>2</v>
      </c>
      <c r="BD80">
        <v>2</v>
      </c>
      <c r="BE80">
        <v>1</v>
      </c>
      <c r="BF80">
        <v>0</v>
      </c>
      <c r="BG80">
        <v>0</v>
      </c>
      <c r="BH80">
        <v>0</v>
      </c>
      <c r="BI80">
        <v>6</v>
      </c>
      <c r="BJ80">
        <v>2</v>
      </c>
      <c r="BK80">
        <v>3</v>
      </c>
      <c r="BL80">
        <v>2</v>
      </c>
      <c r="BM80">
        <v>4</v>
      </c>
      <c r="BN80">
        <v>9</v>
      </c>
      <c r="BO80">
        <v>0</v>
      </c>
      <c r="BP80">
        <v>0</v>
      </c>
      <c r="BQ80">
        <v>4</v>
      </c>
      <c r="BR80">
        <v>2</v>
      </c>
      <c r="BS80">
        <v>2</v>
      </c>
      <c r="BT80">
        <v>4</v>
      </c>
      <c r="BU80">
        <v>2</v>
      </c>
      <c r="BV80">
        <v>2</v>
      </c>
      <c r="BW80">
        <v>3</v>
      </c>
      <c r="BX80">
        <v>2</v>
      </c>
      <c r="BY80">
        <v>1</v>
      </c>
      <c r="BZ80">
        <v>2</v>
      </c>
      <c r="CA80">
        <v>2</v>
      </c>
      <c r="CB80">
        <v>1</v>
      </c>
      <c r="CC80">
        <v>9</v>
      </c>
      <c r="CD80">
        <v>4</v>
      </c>
      <c r="CE80">
        <v>2</v>
      </c>
      <c r="CF80">
        <v>2</v>
      </c>
      <c r="CG80">
        <v>23</v>
      </c>
      <c r="CH80">
        <v>19</v>
      </c>
      <c r="CI80">
        <v>18</v>
      </c>
      <c r="CJ80">
        <v>18</v>
      </c>
      <c r="CK80">
        <v>18</v>
      </c>
      <c r="CL80">
        <v>22</v>
      </c>
      <c r="CM80">
        <v>9</v>
      </c>
      <c r="CN80">
        <v>10</v>
      </c>
      <c r="CO80">
        <v>10</v>
      </c>
      <c r="CP80" s="26">
        <v>14</v>
      </c>
      <c r="CQ80" s="20">
        <v>7</v>
      </c>
      <c r="CR80" s="24">
        <v>25.535714285714285</v>
      </c>
      <c r="CS80" s="24">
        <v>25.75</v>
      </c>
      <c r="CT80" s="24">
        <v>9.4285714285714288</v>
      </c>
      <c r="CU80" s="24">
        <v>473.57142857142856</v>
      </c>
      <c r="CV80" s="24">
        <v>460.42857142857144</v>
      </c>
      <c r="CW80" s="24">
        <v>12.857142857142858</v>
      </c>
      <c r="CX80" s="24">
        <v>96.948430481410725</v>
      </c>
      <c r="CY80" s="25">
        <v>0.2857142857142857</v>
      </c>
      <c r="CZ80" s="20">
        <v>7</v>
      </c>
      <c r="DA80" s="24">
        <v>25.821428571428573</v>
      </c>
      <c r="DB80" s="24">
        <v>26.097619047619048</v>
      </c>
      <c r="DC80" s="24">
        <v>9.485714285714284</v>
      </c>
      <c r="DD80" s="24">
        <v>9.7142857142857135</v>
      </c>
      <c r="DE80" s="24">
        <v>473.57142857142856</v>
      </c>
      <c r="DF80" s="24">
        <v>399.57142857142856</v>
      </c>
      <c r="DG80" s="24">
        <v>16.571428571428573</v>
      </c>
      <c r="DH80" s="24">
        <v>84.15428571428572</v>
      </c>
      <c r="DI80" s="24">
        <v>43.714285714285715</v>
      </c>
      <c r="DJ80" s="24">
        <v>87.067584227778411</v>
      </c>
      <c r="DK80" s="24">
        <v>91.551589037025934</v>
      </c>
      <c r="DL80" s="25">
        <v>85.205098542455787</v>
      </c>
      <c r="DM80" s="20">
        <v>28</v>
      </c>
      <c r="DN80" s="24">
        <v>23.035714285714285</v>
      </c>
      <c r="DO80" s="24">
        <v>23.708333333333336</v>
      </c>
      <c r="DP80" s="24">
        <v>9.9464285714285712</v>
      </c>
      <c r="DQ80" s="24">
        <v>706.07142857142856</v>
      </c>
      <c r="DR80" s="24">
        <v>663.57142857142856</v>
      </c>
      <c r="DS80" s="24">
        <v>40.357142857142854</v>
      </c>
      <c r="DT80" s="24">
        <v>93.642938331565347</v>
      </c>
      <c r="DU80" s="25">
        <v>2.1428571428571428</v>
      </c>
      <c r="DV80" s="20">
        <v>28</v>
      </c>
      <c r="DW80" s="24">
        <v>23.321428571428573</v>
      </c>
      <c r="DX80" s="24">
        <v>24.514285714285712</v>
      </c>
      <c r="DY80" s="24">
        <v>10.4</v>
      </c>
      <c r="DZ80" s="24">
        <v>10.678571428571429</v>
      </c>
      <c r="EA80" s="24">
        <v>681.42857142857144</v>
      </c>
      <c r="EB80" s="24">
        <v>468.92857142857144</v>
      </c>
      <c r="EC80" s="24">
        <v>468.92857142857144</v>
      </c>
      <c r="ED80" s="24">
        <v>68.290357142857147</v>
      </c>
      <c r="EE80" s="24">
        <v>124.21428571428571</v>
      </c>
      <c r="EF80" s="24">
        <v>62.07624817802526</v>
      </c>
      <c r="EG80" s="24">
        <v>76.741121603562235</v>
      </c>
      <c r="EH80" s="25">
        <v>81.883471991890573</v>
      </c>
      <c r="EI80" s="20">
        <v>28</v>
      </c>
      <c r="EJ80" s="24">
        <v>23.035714285714285</v>
      </c>
      <c r="EK80" s="24">
        <v>23.708333333333336</v>
      </c>
      <c r="EL80" s="24">
        <v>9.9464285714285712</v>
      </c>
      <c r="EM80" s="24">
        <v>706.07142857142856</v>
      </c>
      <c r="EN80" s="24">
        <v>663.57142857142856</v>
      </c>
      <c r="EO80" s="24">
        <v>40.357142857142854</v>
      </c>
      <c r="EP80" s="24">
        <v>93.642938331565347</v>
      </c>
      <c r="EQ80" s="25">
        <v>2.1428571428571428</v>
      </c>
      <c r="ER80" s="20">
        <v>25</v>
      </c>
      <c r="ES80" s="24">
        <v>23.16</v>
      </c>
      <c r="ET80" s="24">
        <v>24.428666666666668</v>
      </c>
      <c r="EU80" s="24">
        <v>10.356666666666662</v>
      </c>
      <c r="EV80" s="24">
        <v>10.66</v>
      </c>
      <c r="EW80" s="24">
        <v>690</v>
      </c>
      <c r="EX80" s="24">
        <v>467.92</v>
      </c>
      <c r="EY80" s="24">
        <v>76.12</v>
      </c>
      <c r="EZ80" s="24">
        <v>67.122800000000012</v>
      </c>
      <c r="FA80" s="24">
        <v>127.76</v>
      </c>
      <c r="FB80" s="24">
        <v>60.902080252534539</v>
      </c>
      <c r="FC80" s="24">
        <v>75.906796621455712</v>
      </c>
      <c r="FD80" s="24">
        <v>81.409730906701796</v>
      </c>
    </row>
    <row r="81" spans="1:160" x14ac:dyDescent="0.25">
      <c r="A81">
        <v>5026</v>
      </c>
      <c r="B81">
        <v>2</v>
      </c>
      <c r="C81">
        <v>21</v>
      </c>
      <c r="D81" s="1">
        <v>1.62</v>
      </c>
      <c r="E81">
        <v>78</v>
      </c>
      <c r="F81">
        <v>29.72</v>
      </c>
      <c r="G81">
        <v>1</v>
      </c>
      <c r="H81">
        <v>14</v>
      </c>
      <c r="I81">
        <v>25</v>
      </c>
      <c r="J81">
        <v>2</v>
      </c>
      <c r="K81">
        <v>1</v>
      </c>
      <c r="L81">
        <v>3</v>
      </c>
      <c r="M81" s="1">
        <v>24.35</v>
      </c>
      <c r="O81" s="1">
        <v>22.5</v>
      </c>
      <c r="P81" s="1">
        <v>-1.85</v>
      </c>
      <c r="Q81" s="1">
        <v>25.92</v>
      </c>
      <c r="R81" s="1">
        <v>1.57</v>
      </c>
      <c r="S81" s="1">
        <v>21.5</v>
      </c>
      <c r="T81">
        <v>0</v>
      </c>
      <c r="U81">
        <v>2</v>
      </c>
      <c r="V81">
        <v>0</v>
      </c>
      <c r="W81">
        <v>5</v>
      </c>
      <c r="X81">
        <v>1</v>
      </c>
      <c r="Y81">
        <v>7</v>
      </c>
      <c r="Z81">
        <v>16</v>
      </c>
      <c r="AA81">
        <v>2</v>
      </c>
      <c r="AB81">
        <v>1</v>
      </c>
      <c r="AC81">
        <v>14</v>
      </c>
      <c r="AD81">
        <v>2</v>
      </c>
      <c r="AE81">
        <v>3</v>
      </c>
      <c r="AF81">
        <v>3</v>
      </c>
      <c r="AG81">
        <v>2</v>
      </c>
      <c r="AH81">
        <v>3</v>
      </c>
      <c r="AI81">
        <v>1</v>
      </c>
      <c r="AJ81">
        <v>3</v>
      </c>
      <c r="AK81">
        <v>2</v>
      </c>
      <c r="AL81">
        <v>17</v>
      </c>
      <c r="AM81">
        <v>2</v>
      </c>
      <c r="AN81">
        <v>3</v>
      </c>
      <c r="AO81">
        <v>7</v>
      </c>
      <c r="AP81">
        <v>3</v>
      </c>
      <c r="AQ81">
        <v>13</v>
      </c>
      <c r="AR81">
        <v>0</v>
      </c>
      <c r="AS81">
        <v>3</v>
      </c>
      <c r="AT81">
        <v>3</v>
      </c>
      <c r="AU81">
        <v>1</v>
      </c>
      <c r="AV81">
        <v>3</v>
      </c>
      <c r="AW81">
        <v>2</v>
      </c>
      <c r="AX81">
        <v>1</v>
      </c>
      <c r="AY81">
        <v>1</v>
      </c>
      <c r="AZ81">
        <v>12</v>
      </c>
      <c r="BA81">
        <v>2</v>
      </c>
      <c r="BB81">
        <v>2</v>
      </c>
      <c r="BC81">
        <v>3</v>
      </c>
      <c r="BD81">
        <v>1</v>
      </c>
      <c r="BE81">
        <v>3</v>
      </c>
      <c r="BF81">
        <v>1</v>
      </c>
      <c r="BG81">
        <v>0</v>
      </c>
      <c r="BH81">
        <v>1</v>
      </c>
      <c r="BI81">
        <v>11</v>
      </c>
      <c r="BJ81">
        <v>2</v>
      </c>
      <c r="BK81">
        <v>2</v>
      </c>
      <c r="BL81">
        <v>3</v>
      </c>
      <c r="BM81">
        <v>3</v>
      </c>
      <c r="BN81">
        <v>8</v>
      </c>
      <c r="BO81">
        <v>0</v>
      </c>
      <c r="BP81">
        <v>0</v>
      </c>
      <c r="BQ81">
        <v>3</v>
      </c>
      <c r="BR81">
        <v>2</v>
      </c>
      <c r="BS81">
        <v>1</v>
      </c>
      <c r="BT81">
        <v>3</v>
      </c>
      <c r="BU81">
        <v>2</v>
      </c>
      <c r="BV81">
        <v>1</v>
      </c>
      <c r="BW81">
        <v>3</v>
      </c>
      <c r="BX81">
        <v>2</v>
      </c>
      <c r="BY81">
        <v>1</v>
      </c>
      <c r="BZ81">
        <v>2</v>
      </c>
      <c r="CA81">
        <v>3</v>
      </c>
      <c r="CB81">
        <v>2</v>
      </c>
      <c r="CC81">
        <v>6</v>
      </c>
      <c r="CD81">
        <v>3</v>
      </c>
      <c r="CE81">
        <v>1</v>
      </c>
      <c r="CF81">
        <v>1</v>
      </c>
      <c r="CG81">
        <v>29</v>
      </c>
      <c r="CH81">
        <v>27</v>
      </c>
      <c r="CI81">
        <v>25</v>
      </c>
      <c r="CJ81">
        <v>25</v>
      </c>
      <c r="CK81">
        <v>25</v>
      </c>
      <c r="CL81">
        <v>14</v>
      </c>
      <c r="CM81">
        <v>16</v>
      </c>
      <c r="CN81">
        <v>14</v>
      </c>
      <c r="CO81">
        <v>11</v>
      </c>
      <c r="CP81" s="26">
        <v>13</v>
      </c>
      <c r="CQ81" s="20">
        <v>6</v>
      </c>
      <c r="CR81" s="24">
        <v>23.916666666666668</v>
      </c>
      <c r="CS81" s="24">
        <v>25.125</v>
      </c>
      <c r="CT81" s="24">
        <v>9.25</v>
      </c>
      <c r="CU81" s="24">
        <v>560</v>
      </c>
      <c r="CV81" s="24">
        <v>433.33333333333331</v>
      </c>
      <c r="CW81" s="24">
        <v>72.5</v>
      </c>
      <c r="CX81" s="24">
        <v>77.681813466127196</v>
      </c>
      <c r="CY81" s="25">
        <v>54.166666666666664</v>
      </c>
      <c r="CZ81" s="20">
        <v>6</v>
      </c>
      <c r="DA81" s="24">
        <v>25.916666666666668</v>
      </c>
      <c r="DB81" s="24">
        <v>26.330555555555559</v>
      </c>
      <c r="DC81" s="24">
        <v>10.22777777777778</v>
      </c>
      <c r="DD81" s="24">
        <v>10.5</v>
      </c>
      <c r="DE81" s="24">
        <v>515</v>
      </c>
      <c r="DF81" s="24">
        <v>425.83333333333331</v>
      </c>
      <c r="DG81" s="24">
        <v>24.833333333333332</v>
      </c>
      <c r="DH81" s="24">
        <v>82.88000000000001</v>
      </c>
      <c r="DI81" s="24">
        <v>48</v>
      </c>
      <c r="DJ81" s="24">
        <v>80.900656361182669</v>
      </c>
      <c r="DK81" s="24">
        <v>91.78465832413201</v>
      </c>
      <c r="DL81" s="25">
        <v>84.081730769230774</v>
      </c>
      <c r="DM81" s="20">
        <v>27</v>
      </c>
      <c r="DN81" s="24">
        <v>23.231481481481481</v>
      </c>
      <c r="DO81" s="24">
        <v>24.527777777777779</v>
      </c>
      <c r="DP81" s="24">
        <v>9.2870370370370363</v>
      </c>
      <c r="DQ81" s="24">
        <v>603.33333333333337</v>
      </c>
      <c r="DR81" s="24">
        <v>483.33333333333331</v>
      </c>
      <c r="DS81" s="24">
        <v>77.777777777777771</v>
      </c>
      <c r="DT81" s="24">
        <v>80.164623162858319</v>
      </c>
      <c r="DU81" s="25">
        <v>42.222222222222221</v>
      </c>
      <c r="DV81" s="20">
        <v>24</v>
      </c>
      <c r="DW81" s="24">
        <v>25.565217391304348</v>
      </c>
      <c r="DX81" s="24">
        <v>26.828787878787878</v>
      </c>
      <c r="DY81" s="24">
        <v>9.9356060606060606</v>
      </c>
      <c r="DZ81" s="24">
        <v>11.065217391304348</v>
      </c>
      <c r="EA81" s="24">
        <v>570</v>
      </c>
      <c r="EB81" s="24">
        <v>357.77272727272725</v>
      </c>
      <c r="EC81" s="24">
        <v>357.77272727272725</v>
      </c>
      <c r="ED81" s="24">
        <v>64.540454545454551</v>
      </c>
      <c r="EE81" s="24">
        <v>68.63636363636364</v>
      </c>
      <c r="EF81" s="24">
        <v>72.448565804587702</v>
      </c>
      <c r="EG81" s="24">
        <v>81.747415197127097</v>
      </c>
      <c r="EH81" s="25">
        <v>73.170197489828809</v>
      </c>
      <c r="EI81" s="20">
        <v>24</v>
      </c>
      <c r="EJ81" s="24">
        <v>22.947916666666668</v>
      </c>
      <c r="EK81" s="24">
        <v>24.322916666666668</v>
      </c>
      <c r="EL81" s="24">
        <v>9.1979166666666661</v>
      </c>
      <c r="EM81" s="24">
        <v>615</v>
      </c>
      <c r="EN81" s="24">
        <v>490.41666666666669</v>
      </c>
      <c r="EO81" s="24">
        <v>82.5</v>
      </c>
      <c r="EP81" s="24">
        <v>79.726550005201815</v>
      </c>
      <c r="EQ81" s="25">
        <v>42.083333333333336</v>
      </c>
      <c r="ER81" s="20">
        <v>3</v>
      </c>
      <c r="ES81" s="24">
        <v>24</v>
      </c>
      <c r="ET81" s="24">
        <v>24.861111111111114</v>
      </c>
      <c r="EU81" s="24">
        <v>9.8166666666666682</v>
      </c>
      <c r="EV81" s="24">
        <v>10.5</v>
      </c>
      <c r="EW81" s="24">
        <v>630</v>
      </c>
      <c r="EX81" s="24">
        <v>473.66666666666669</v>
      </c>
      <c r="EY81" s="24">
        <v>51.666666666666664</v>
      </c>
      <c r="EZ81" s="24">
        <v>75.75333333333333</v>
      </c>
      <c r="FA81" s="24">
        <v>63.666666666666664</v>
      </c>
      <c r="FB81" s="24">
        <v>78.501683501683502</v>
      </c>
      <c r="FC81" s="24">
        <v>89.376372419850682</v>
      </c>
      <c r="FD81" s="24">
        <v>79.28268189137755</v>
      </c>
    </row>
    <row r="82" spans="1:160" x14ac:dyDescent="0.25">
      <c r="A82">
        <v>6001</v>
      </c>
      <c r="B82">
        <v>2</v>
      </c>
      <c r="C82">
        <v>25</v>
      </c>
      <c r="D82" s="1">
        <v>1.74</v>
      </c>
      <c r="E82">
        <v>67</v>
      </c>
      <c r="F82">
        <v>22.13</v>
      </c>
      <c r="G82">
        <v>1</v>
      </c>
      <c r="H82">
        <v>11</v>
      </c>
      <c r="I82">
        <v>22</v>
      </c>
      <c r="J82">
        <v>1</v>
      </c>
      <c r="K82">
        <v>1</v>
      </c>
      <c r="L82">
        <v>3</v>
      </c>
      <c r="M82" s="1">
        <v>22.58</v>
      </c>
      <c r="O82" s="1">
        <v>22</v>
      </c>
      <c r="P82" s="1">
        <v>-0.57999999999999996</v>
      </c>
      <c r="Q82" s="1">
        <v>25.02</v>
      </c>
      <c r="R82" s="1">
        <v>2.44</v>
      </c>
      <c r="S82" s="1">
        <v>21</v>
      </c>
      <c r="T82">
        <v>0</v>
      </c>
      <c r="U82">
        <v>2</v>
      </c>
      <c r="V82">
        <v>0</v>
      </c>
      <c r="W82">
        <v>7</v>
      </c>
      <c r="X82">
        <v>1</v>
      </c>
      <c r="Y82">
        <v>2</v>
      </c>
      <c r="Z82">
        <v>0</v>
      </c>
      <c r="AA82">
        <v>1</v>
      </c>
      <c r="AB82">
        <v>1</v>
      </c>
      <c r="AC82">
        <v>7</v>
      </c>
      <c r="AD82">
        <v>1</v>
      </c>
      <c r="AE82">
        <v>1</v>
      </c>
      <c r="AF82">
        <v>1</v>
      </c>
      <c r="AG82">
        <v>0</v>
      </c>
      <c r="AH82">
        <v>0</v>
      </c>
      <c r="AI82">
        <v>1</v>
      </c>
      <c r="AJ82">
        <v>0</v>
      </c>
      <c r="AK82">
        <v>1</v>
      </c>
      <c r="AL82">
        <v>4</v>
      </c>
      <c r="AM82">
        <v>1</v>
      </c>
      <c r="AN82">
        <v>5</v>
      </c>
      <c r="AO82">
        <v>1</v>
      </c>
      <c r="AP82">
        <v>2</v>
      </c>
      <c r="AQ82">
        <v>8</v>
      </c>
      <c r="AR82">
        <v>2</v>
      </c>
      <c r="AS82">
        <v>7</v>
      </c>
      <c r="AT82">
        <v>2</v>
      </c>
      <c r="AU82">
        <v>1</v>
      </c>
      <c r="AV82">
        <v>2</v>
      </c>
      <c r="AW82">
        <v>1</v>
      </c>
      <c r="AX82">
        <v>1</v>
      </c>
      <c r="AY82">
        <v>1</v>
      </c>
      <c r="AZ82">
        <v>5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1</v>
      </c>
      <c r="BI82">
        <v>3</v>
      </c>
      <c r="BJ82">
        <v>1</v>
      </c>
      <c r="BK82">
        <v>3</v>
      </c>
      <c r="BL82">
        <v>1</v>
      </c>
      <c r="BM82">
        <v>1</v>
      </c>
      <c r="BN82">
        <v>5</v>
      </c>
      <c r="BO82">
        <v>3</v>
      </c>
      <c r="BP82">
        <v>5</v>
      </c>
      <c r="BQ82">
        <v>3</v>
      </c>
      <c r="BR82">
        <v>2</v>
      </c>
      <c r="BS82">
        <v>1</v>
      </c>
      <c r="BT82">
        <v>3</v>
      </c>
      <c r="BU82">
        <v>2</v>
      </c>
      <c r="BV82">
        <v>1</v>
      </c>
      <c r="BW82">
        <v>3</v>
      </c>
      <c r="BX82">
        <v>2</v>
      </c>
      <c r="BY82">
        <v>1</v>
      </c>
      <c r="BZ82">
        <v>2</v>
      </c>
      <c r="CA82">
        <v>3</v>
      </c>
      <c r="CB82">
        <v>1</v>
      </c>
      <c r="CC82">
        <v>5</v>
      </c>
      <c r="CD82">
        <v>5</v>
      </c>
      <c r="CE82">
        <v>2</v>
      </c>
      <c r="CF82">
        <v>1</v>
      </c>
      <c r="CG82">
        <v>16</v>
      </c>
      <c r="CH82">
        <v>11</v>
      </c>
      <c r="CI82">
        <v>15</v>
      </c>
      <c r="CJ82">
        <v>18</v>
      </c>
      <c r="CK82">
        <v>22</v>
      </c>
      <c r="CL82">
        <v>19</v>
      </c>
      <c r="CM82">
        <v>24</v>
      </c>
      <c r="CN82">
        <v>16</v>
      </c>
      <c r="CO82">
        <v>21</v>
      </c>
      <c r="CP82" s="26">
        <v>14</v>
      </c>
      <c r="CQ82" s="20">
        <v>7</v>
      </c>
      <c r="CR82" s="24">
        <v>25.023809523809522</v>
      </c>
      <c r="CS82" s="24">
        <v>25.36904761904762</v>
      </c>
      <c r="CT82" s="24">
        <v>9.3095238095238102</v>
      </c>
      <c r="CU82" s="24">
        <v>497.14285714285717</v>
      </c>
      <c r="CV82" s="24">
        <v>461.42857142857144</v>
      </c>
      <c r="CW82" s="24">
        <v>20.714285714285715</v>
      </c>
      <c r="CX82" s="24">
        <v>92.613081932452928</v>
      </c>
      <c r="CY82" s="25">
        <v>15</v>
      </c>
      <c r="CZ82" s="20">
        <v>7</v>
      </c>
      <c r="DA82" s="24">
        <v>25.023809523809522</v>
      </c>
      <c r="DB82" s="24">
        <v>25.152380952380952</v>
      </c>
      <c r="DC82" s="24">
        <v>9.1738095238095241</v>
      </c>
      <c r="DD82" s="24">
        <v>9.3095238095238102</v>
      </c>
      <c r="DE82" s="24">
        <v>497.14285714285717</v>
      </c>
      <c r="DF82" s="24">
        <v>436.57142857142856</v>
      </c>
      <c r="DG82" s="24">
        <v>7.7142857142857144</v>
      </c>
      <c r="DH82" s="24">
        <v>87.48571428571428</v>
      </c>
      <c r="DI82" s="24">
        <v>44.714285714285715</v>
      </c>
      <c r="DJ82" s="24">
        <v>87.368177162794822</v>
      </c>
      <c r="DK82" s="24">
        <v>90.229908619686597</v>
      </c>
      <c r="DL82" s="25">
        <v>89.635924979032566</v>
      </c>
      <c r="DM82" s="20">
        <v>19</v>
      </c>
      <c r="DN82" s="24">
        <v>23.043859649122805</v>
      </c>
      <c r="DO82" s="24">
        <v>23.209649122807019</v>
      </c>
      <c r="DP82" s="24">
        <v>7.7192982456140342</v>
      </c>
      <c r="DQ82" s="24">
        <v>520.52631578947364</v>
      </c>
      <c r="DR82" s="24">
        <v>504.77777777777777</v>
      </c>
      <c r="DS82" s="24">
        <v>9.9473684210526319</v>
      </c>
      <c r="DT82" s="24">
        <v>96.876512741352229</v>
      </c>
      <c r="DU82" s="25">
        <v>6.666666666666667</v>
      </c>
      <c r="DV82" s="20">
        <v>19</v>
      </c>
      <c r="DW82" s="24">
        <v>22.870370370370367</v>
      </c>
      <c r="DX82" s="24">
        <v>23.066666666666666</v>
      </c>
      <c r="DY82" s="24">
        <v>7.5990740740740739</v>
      </c>
      <c r="DZ82" s="24">
        <v>7.7870370370370363</v>
      </c>
      <c r="EA82" s="24">
        <v>535</v>
      </c>
      <c r="EB82" s="24">
        <v>462.61111111111109</v>
      </c>
      <c r="EC82" s="24">
        <v>462.61111111111109</v>
      </c>
      <c r="ED82" s="24">
        <v>86.428888888888906</v>
      </c>
      <c r="EE82" s="24">
        <v>49.333333333333336</v>
      </c>
      <c r="EF82" s="24">
        <v>86.49596846301624</v>
      </c>
      <c r="EG82" s="24">
        <v>90.146260216939794</v>
      </c>
      <c r="EH82" s="25">
        <v>88.760902002553266</v>
      </c>
      <c r="EI82" s="20">
        <v>9</v>
      </c>
      <c r="EJ82" s="24">
        <v>22.194444444444443</v>
      </c>
      <c r="EK82" s="24">
        <v>22.388888888888893</v>
      </c>
      <c r="EL82" s="24">
        <v>7.25</v>
      </c>
      <c r="EM82" s="24">
        <v>543.33333333333337</v>
      </c>
      <c r="EN82" s="24">
        <v>523.75</v>
      </c>
      <c r="EO82" s="24">
        <v>11.666666666666666</v>
      </c>
      <c r="EP82" s="24">
        <v>95.508745906837092</v>
      </c>
      <c r="EQ82" s="25">
        <v>12.5</v>
      </c>
      <c r="ER82" s="20">
        <v>10</v>
      </c>
      <c r="ES82" s="24">
        <v>22.024999999999999</v>
      </c>
      <c r="ET82" s="24">
        <v>22.331666666666671</v>
      </c>
      <c r="EU82" s="24">
        <v>7.0133333333333336</v>
      </c>
      <c r="EV82" s="24">
        <v>7.1749999999999998</v>
      </c>
      <c r="EW82" s="24">
        <v>549</v>
      </c>
      <c r="EX82" s="24">
        <v>468.3</v>
      </c>
      <c r="EY82" s="24">
        <v>18.399999999999999</v>
      </c>
      <c r="EZ82" s="24">
        <v>85.287999999999997</v>
      </c>
      <c r="FA82" s="24">
        <v>52.6</v>
      </c>
      <c r="FB82" s="24">
        <v>83.816208639120276</v>
      </c>
      <c r="FC82" s="24">
        <v>90.104845508830707</v>
      </c>
      <c r="FD82" s="24">
        <v>88.203605472881776</v>
      </c>
    </row>
    <row r="83" spans="1:160" x14ac:dyDescent="0.25">
      <c r="A83">
        <v>6003</v>
      </c>
      <c r="B83">
        <v>2</v>
      </c>
      <c r="C83">
        <v>29</v>
      </c>
      <c r="D83" s="1">
        <v>1.71</v>
      </c>
      <c r="E83">
        <v>65</v>
      </c>
      <c r="F83">
        <v>22.23</v>
      </c>
      <c r="G83">
        <v>2</v>
      </c>
      <c r="H83">
        <v>13</v>
      </c>
      <c r="I83">
        <v>25</v>
      </c>
      <c r="J83">
        <v>2</v>
      </c>
      <c r="K83">
        <v>2</v>
      </c>
      <c r="L83">
        <v>3</v>
      </c>
      <c r="M83" s="1">
        <v>23.05</v>
      </c>
      <c r="O83" s="1">
        <v>23</v>
      </c>
      <c r="P83" s="1">
        <v>-0.05</v>
      </c>
      <c r="Q83" s="1">
        <v>25.1</v>
      </c>
      <c r="R83" s="1">
        <v>2.0499999999999998</v>
      </c>
      <c r="S83" s="1">
        <v>22</v>
      </c>
      <c r="T83">
        <v>0</v>
      </c>
      <c r="U83">
        <v>1</v>
      </c>
      <c r="V83">
        <v>0</v>
      </c>
      <c r="W83">
        <v>15</v>
      </c>
      <c r="X83">
        <v>2</v>
      </c>
      <c r="Y83">
        <v>15</v>
      </c>
      <c r="Z83">
        <v>18</v>
      </c>
      <c r="AA83">
        <v>2</v>
      </c>
      <c r="AB83">
        <v>1</v>
      </c>
      <c r="AC83">
        <v>16</v>
      </c>
      <c r="AD83">
        <v>3</v>
      </c>
      <c r="AE83">
        <v>3</v>
      </c>
      <c r="AF83">
        <v>1</v>
      </c>
      <c r="AG83">
        <v>1</v>
      </c>
      <c r="AH83">
        <v>0</v>
      </c>
      <c r="AI83">
        <v>1</v>
      </c>
      <c r="AJ83">
        <v>0</v>
      </c>
      <c r="AK83">
        <v>2</v>
      </c>
      <c r="AL83">
        <v>8</v>
      </c>
      <c r="AM83">
        <v>2</v>
      </c>
      <c r="AN83">
        <v>9</v>
      </c>
      <c r="AO83">
        <v>7</v>
      </c>
      <c r="AP83">
        <v>3</v>
      </c>
      <c r="AQ83">
        <v>19</v>
      </c>
      <c r="AR83">
        <v>5</v>
      </c>
      <c r="AS83">
        <v>8</v>
      </c>
      <c r="AT83">
        <v>12</v>
      </c>
      <c r="AU83">
        <v>2</v>
      </c>
      <c r="AV83">
        <v>12</v>
      </c>
      <c r="AW83">
        <v>12</v>
      </c>
      <c r="AX83">
        <v>1</v>
      </c>
      <c r="AY83">
        <v>1</v>
      </c>
      <c r="AZ83">
        <v>11</v>
      </c>
      <c r="BA83">
        <v>2</v>
      </c>
      <c r="BB83">
        <v>1</v>
      </c>
      <c r="BC83">
        <v>0</v>
      </c>
      <c r="BD83">
        <v>0</v>
      </c>
      <c r="BE83">
        <v>0</v>
      </c>
      <c r="BF83">
        <v>1</v>
      </c>
      <c r="BG83">
        <v>3</v>
      </c>
      <c r="BH83">
        <v>1</v>
      </c>
      <c r="BI83">
        <v>6</v>
      </c>
      <c r="BJ83">
        <v>2</v>
      </c>
      <c r="BK83">
        <v>8</v>
      </c>
      <c r="BL83">
        <v>3</v>
      </c>
      <c r="BM83">
        <v>3</v>
      </c>
      <c r="BN83">
        <v>14</v>
      </c>
      <c r="BO83">
        <v>4</v>
      </c>
      <c r="BP83">
        <v>10</v>
      </c>
      <c r="BQ83">
        <v>2</v>
      </c>
      <c r="BR83">
        <v>1</v>
      </c>
      <c r="BS83">
        <v>1</v>
      </c>
      <c r="BT83">
        <v>2</v>
      </c>
      <c r="BU83">
        <v>1</v>
      </c>
      <c r="BV83">
        <v>1</v>
      </c>
      <c r="BW83">
        <v>2</v>
      </c>
      <c r="BX83">
        <v>1</v>
      </c>
      <c r="BY83">
        <v>1</v>
      </c>
      <c r="BZ83">
        <v>1</v>
      </c>
      <c r="CA83">
        <v>3</v>
      </c>
      <c r="CB83">
        <v>1</v>
      </c>
      <c r="CC83">
        <v>5</v>
      </c>
      <c r="CD83">
        <v>5</v>
      </c>
      <c r="CE83">
        <v>2</v>
      </c>
      <c r="CF83">
        <v>2</v>
      </c>
      <c r="CG83">
        <v>20</v>
      </c>
      <c r="CH83">
        <v>20</v>
      </c>
      <c r="CI83">
        <v>23</v>
      </c>
      <c r="CJ83">
        <v>16</v>
      </c>
      <c r="CK83">
        <v>13</v>
      </c>
      <c r="CL83">
        <v>26</v>
      </c>
      <c r="CM83">
        <v>25</v>
      </c>
      <c r="CN83">
        <v>16</v>
      </c>
      <c r="CO83">
        <v>27</v>
      </c>
      <c r="CP83" s="26">
        <v>15</v>
      </c>
      <c r="CQ83" s="20">
        <v>7</v>
      </c>
      <c r="CR83" s="24">
        <v>25.095238095238098</v>
      </c>
      <c r="CS83" s="24">
        <v>25.326190476190476</v>
      </c>
      <c r="CT83" s="24">
        <v>9.6904761904761898</v>
      </c>
      <c r="CU83" s="24">
        <v>515.71428571428567</v>
      </c>
      <c r="CV83" s="24">
        <v>474</v>
      </c>
      <c r="CW83" s="24">
        <v>13.857142857142858</v>
      </c>
      <c r="CX83" s="24">
        <v>92.523670286828178</v>
      </c>
      <c r="CY83" s="25">
        <v>27.857142857142858</v>
      </c>
      <c r="CZ83" s="20">
        <v>7</v>
      </c>
      <c r="DA83" s="24">
        <v>25.095238095238098</v>
      </c>
      <c r="DB83" s="24">
        <v>25.276190476190475</v>
      </c>
      <c r="DC83" s="24">
        <v>9.6666666666666679</v>
      </c>
      <c r="DD83" s="24">
        <v>9.8333333333333321</v>
      </c>
      <c r="DE83" s="24">
        <v>524.28571428571433</v>
      </c>
      <c r="DF83" s="24">
        <v>445.42857142857144</v>
      </c>
      <c r="DG83" s="24">
        <v>10.857142857142858</v>
      </c>
      <c r="DH83" s="24">
        <v>84.284285714285716</v>
      </c>
      <c r="DI83" s="24">
        <v>58</v>
      </c>
      <c r="DJ83" s="24">
        <v>83.550409096444909</v>
      </c>
      <c r="DK83" s="24">
        <v>89.360986555359958</v>
      </c>
      <c r="DL83" s="25">
        <v>83.513119683568974</v>
      </c>
      <c r="DM83" s="20">
        <v>23</v>
      </c>
      <c r="DN83" s="24">
        <v>24.310144927536225</v>
      </c>
      <c r="DO83" s="24">
        <v>24.660869565217393</v>
      </c>
      <c r="DP83" s="24">
        <v>8.9420289855072479</v>
      </c>
      <c r="DQ83" s="24">
        <v>455.30434782608694</v>
      </c>
      <c r="DR83" s="24">
        <v>429.91304347826087</v>
      </c>
      <c r="DS83" s="24">
        <v>21.043478260869566</v>
      </c>
      <c r="DT83" s="24">
        <v>94.427215630854491</v>
      </c>
      <c r="DU83" s="25">
        <v>4.3478260869565215</v>
      </c>
      <c r="DV83" s="20">
        <v>23</v>
      </c>
      <c r="DW83" s="24">
        <v>25.056521739130432</v>
      </c>
      <c r="DX83" s="24">
        <v>25.229710144927541</v>
      </c>
      <c r="DY83" s="24">
        <v>8.3746376811594185</v>
      </c>
      <c r="DZ83" s="24">
        <v>8.5942028985507246</v>
      </c>
      <c r="EA83" s="24">
        <v>452.26086956521738</v>
      </c>
      <c r="EB83" s="24">
        <v>386.52173913043481</v>
      </c>
      <c r="EC83" s="24">
        <v>386.52173913043481</v>
      </c>
      <c r="ED83" s="24">
        <v>85.272608695652167</v>
      </c>
      <c r="EE83" s="24">
        <v>42.173913043478258</v>
      </c>
      <c r="EF83" s="24">
        <v>89.032061537997691</v>
      </c>
      <c r="EG83" s="24">
        <v>89.823623701196041</v>
      </c>
      <c r="EH83" s="25">
        <v>84.29309529428609</v>
      </c>
      <c r="EI83" s="20">
        <v>8</v>
      </c>
      <c r="EJ83" s="24">
        <v>23.729166666666664</v>
      </c>
      <c r="EK83" s="24">
        <v>24.325000000000003</v>
      </c>
      <c r="EL83" s="24">
        <v>8.4583333333333339</v>
      </c>
      <c r="EM83" s="24">
        <v>523.75</v>
      </c>
      <c r="EN83" s="24">
        <v>484.875</v>
      </c>
      <c r="EO83" s="24">
        <v>35.75</v>
      </c>
      <c r="EP83" s="24">
        <v>92.890694443896734</v>
      </c>
      <c r="EQ83" s="25">
        <v>3.125</v>
      </c>
      <c r="ER83" s="20">
        <v>7</v>
      </c>
      <c r="ES83" s="24">
        <v>23.690476190476186</v>
      </c>
      <c r="ET83" s="24">
        <v>23.942857142857143</v>
      </c>
      <c r="EU83" s="24">
        <v>7.9023809523809527</v>
      </c>
      <c r="EV83" s="24">
        <v>8.238095238095239</v>
      </c>
      <c r="EW83" s="24">
        <v>512.85714285714289</v>
      </c>
      <c r="EX83" s="24">
        <v>425.28571428571428</v>
      </c>
      <c r="EY83" s="24">
        <v>15.142857142857142</v>
      </c>
      <c r="EZ83" s="24">
        <v>82.688571428571436</v>
      </c>
      <c r="FA83" s="24">
        <v>52.285714285714285</v>
      </c>
      <c r="FB83" s="24">
        <v>87.496542260120108</v>
      </c>
      <c r="FC83" s="24">
        <v>88.909426352799159</v>
      </c>
      <c r="FD83" s="24">
        <v>82.397721726510454</v>
      </c>
    </row>
    <row r="84" spans="1:160" x14ac:dyDescent="0.25">
      <c r="A84">
        <v>6004</v>
      </c>
      <c r="B84">
        <v>1</v>
      </c>
      <c r="C84">
        <v>20</v>
      </c>
      <c r="D84" s="1">
        <v>1.8</v>
      </c>
      <c r="E84">
        <v>82</v>
      </c>
      <c r="F84">
        <v>25.31</v>
      </c>
      <c r="G84">
        <v>1</v>
      </c>
      <c r="H84">
        <v>11</v>
      </c>
      <c r="I84">
        <v>30</v>
      </c>
      <c r="J84">
        <v>2</v>
      </c>
      <c r="K84">
        <v>1</v>
      </c>
      <c r="L84">
        <v>3</v>
      </c>
      <c r="M84" s="1">
        <v>23.43</v>
      </c>
      <c r="O84" s="1">
        <v>24</v>
      </c>
      <c r="P84" s="1">
        <v>0.56999999999999995</v>
      </c>
      <c r="Q84" s="1">
        <v>26.03</v>
      </c>
      <c r="R84" s="1">
        <v>2.6</v>
      </c>
      <c r="S84" s="1">
        <v>23</v>
      </c>
      <c r="T84">
        <v>0</v>
      </c>
      <c r="U84">
        <v>0</v>
      </c>
      <c r="V84">
        <v>0</v>
      </c>
      <c r="W84">
        <v>7</v>
      </c>
      <c r="X84">
        <v>1</v>
      </c>
      <c r="Y84">
        <v>8</v>
      </c>
      <c r="Z84">
        <v>5</v>
      </c>
      <c r="AA84">
        <v>1</v>
      </c>
      <c r="AB84">
        <v>1</v>
      </c>
      <c r="AC84">
        <v>5</v>
      </c>
      <c r="AD84">
        <v>1</v>
      </c>
      <c r="AE84">
        <v>1</v>
      </c>
      <c r="AF84">
        <v>1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4</v>
      </c>
      <c r="AM84">
        <v>1</v>
      </c>
      <c r="AN84">
        <v>4</v>
      </c>
      <c r="AO84">
        <v>1</v>
      </c>
      <c r="AP84">
        <v>2</v>
      </c>
      <c r="AQ84">
        <v>7</v>
      </c>
      <c r="AR84">
        <v>2</v>
      </c>
      <c r="AS84">
        <v>0</v>
      </c>
      <c r="AT84">
        <v>7</v>
      </c>
      <c r="AU84">
        <v>1</v>
      </c>
      <c r="AV84">
        <v>0</v>
      </c>
      <c r="AW84">
        <v>0</v>
      </c>
      <c r="AX84">
        <v>1</v>
      </c>
      <c r="AY84">
        <v>1</v>
      </c>
      <c r="AZ84">
        <v>5</v>
      </c>
      <c r="BA84">
        <v>1</v>
      </c>
      <c r="BB84">
        <v>1</v>
      </c>
      <c r="BC84">
        <v>2</v>
      </c>
      <c r="BD84">
        <v>0</v>
      </c>
      <c r="BE84">
        <v>0</v>
      </c>
      <c r="BF84">
        <v>1</v>
      </c>
      <c r="BG84">
        <v>0</v>
      </c>
      <c r="BH84">
        <v>1</v>
      </c>
      <c r="BI84">
        <v>5</v>
      </c>
      <c r="BJ84">
        <v>1</v>
      </c>
      <c r="BK84">
        <v>3</v>
      </c>
      <c r="BL84">
        <v>1</v>
      </c>
      <c r="BM84">
        <v>1</v>
      </c>
      <c r="BN84">
        <v>5</v>
      </c>
      <c r="BO84">
        <v>0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3</v>
      </c>
      <c r="BX84">
        <v>2</v>
      </c>
      <c r="BY84">
        <v>1</v>
      </c>
      <c r="BZ84">
        <v>2</v>
      </c>
      <c r="CA84">
        <v>2</v>
      </c>
      <c r="CB84">
        <v>1</v>
      </c>
      <c r="CC84">
        <v>9</v>
      </c>
      <c r="CD84">
        <v>4</v>
      </c>
      <c r="CE84">
        <v>2</v>
      </c>
      <c r="CF84">
        <v>1</v>
      </c>
      <c r="CG84">
        <v>17</v>
      </c>
      <c r="CH84">
        <v>17</v>
      </c>
      <c r="CI84">
        <v>14</v>
      </c>
      <c r="CJ84">
        <v>14</v>
      </c>
      <c r="CK84">
        <v>14</v>
      </c>
      <c r="CL84">
        <v>20</v>
      </c>
      <c r="CM84">
        <v>20</v>
      </c>
      <c r="CN84">
        <v>20</v>
      </c>
      <c r="CO84">
        <v>20</v>
      </c>
      <c r="CP84" s="26">
        <v>20</v>
      </c>
      <c r="CQ84" s="20">
        <v>7</v>
      </c>
      <c r="CR84" s="24">
        <v>25.666666666666668</v>
      </c>
      <c r="CS84" s="24">
        <v>25.952380952380953</v>
      </c>
      <c r="CT84" s="24">
        <v>8.8333333333333321</v>
      </c>
      <c r="CU84" s="24">
        <v>430</v>
      </c>
      <c r="CV84" s="24">
        <v>407.85714285714283</v>
      </c>
      <c r="CW84" s="24">
        <v>17.142857142857142</v>
      </c>
      <c r="CX84" s="24">
        <v>94.350338744335701</v>
      </c>
      <c r="CY84" s="25">
        <v>5</v>
      </c>
      <c r="CZ84" s="20">
        <v>7</v>
      </c>
      <c r="DA84" s="24">
        <v>26.028571428571428</v>
      </c>
      <c r="DB84" s="24">
        <v>26.116666666666667</v>
      </c>
      <c r="DC84" s="24">
        <v>8.7380952380952372</v>
      </c>
      <c r="DD84" s="24">
        <v>9.2261904761904763</v>
      </c>
      <c r="DE84" s="24">
        <v>431.85714285714283</v>
      </c>
      <c r="DF84" s="24">
        <v>358.28571428571428</v>
      </c>
      <c r="DG84" s="24">
        <v>5.2857142857142856</v>
      </c>
      <c r="DH84" s="24">
        <v>82.944285714285712</v>
      </c>
      <c r="DI84" s="24">
        <v>39</v>
      </c>
      <c r="DJ84" s="24">
        <v>91.052177163771702</v>
      </c>
      <c r="DK84" s="24">
        <v>87.622394223026461</v>
      </c>
      <c r="DL84" s="25">
        <v>81.13030751874399</v>
      </c>
      <c r="DM84" s="20">
        <v>20</v>
      </c>
      <c r="DN84" s="24">
        <v>24.070833333333333</v>
      </c>
      <c r="DO84" s="24">
        <v>24.829166666666669</v>
      </c>
      <c r="DP84" s="24">
        <v>8.8611111111111107</v>
      </c>
      <c r="DQ84" s="24">
        <v>526.94444444444446</v>
      </c>
      <c r="DR84" s="24">
        <v>472.38888888888891</v>
      </c>
      <c r="DS84" s="24">
        <v>50.555555555555557</v>
      </c>
      <c r="DT84" s="24">
        <v>89.582694390000611</v>
      </c>
      <c r="DU84" s="25">
        <v>4</v>
      </c>
      <c r="DV84" s="20">
        <v>20</v>
      </c>
      <c r="DW84" s="24">
        <v>24.078703703703702</v>
      </c>
      <c r="DX84" s="24">
        <v>24.979629629629631</v>
      </c>
      <c r="DY84" s="24">
        <v>8.7064814814814824</v>
      </c>
      <c r="DZ84" s="24">
        <v>8.8611111111111107</v>
      </c>
      <c r="EA84" s="24">
        <v>526.94444444444446</v>
      </c>
      <c r="EB84" s="24">
        <v>404.38888888888891</v>
      </c>
      <c r="EC84" s="24">
        <v>404.38888888888891</v>
      </c>
      <c r="ED84" s="24">
        <v>76.607777777777784</v>
      </c>
      <c r="EE84" s="24">
        <v>59.222222222222221</v>
      </c>
      <c r="EF84" s="24">
        <v>68.239300411291282</v>
      </c>
      <c r="EG84" s="24">
        <v>87.705980033271373</v>
      </c>
      <c r="EH84" s="25">
        <v>85.156033971885535</v>
      </c>
      <c r="EI84" s="20">
        <v>20</v>
      </c>
      <c r="EJ84" s="24">
        <v>24.070833333333333</v>
      </c>
      <c r="EK84" s="24">
        <v>24.829166666666669</v>
      </c>
      <c r="EL84" s="24">
        <v>8.8611111111111107</v>
      </c>
      <c r="EM84" s="24">
        <v>526.94444444444446</v>
      </c>
      <c r="EN84" s="24">
        <v>472.38888888888891</v>
      </c>
      <c r="EO84" s="24">
        <v>50.555555555555557</v>
      </c>
      <c r="EP84" s="24">
        <v>89.582694390000611</v>
      </c>
      <c r="EQ84" s="25">
        <v>4</v>
      </c>
      <c r="ER84" s="20">
        <v>18</v>
      </c>
      <c r="ES84" s="24">
        <v>24.078703703703702</v>
      </c>
      <c r="ET84" s="24">
        <v>24.979629629629631</v>
      </c>
      <c r="EU84" s="24">
        <v>8.7064814814814824</v>
      </c>
      <c r="EV84" s="24">
        <v>8.8611111111111107</v>
      </c>
      <c r="EW84" s="24">
        <v>526.94444444444446</v>
      </c>
      <c r="EX84" s="24">
        <v>404.38888888888891</v>
      </c>
      <c r="EY84" s="24">
        <v>54.055555555555557</v>
      </c>
      <c r="EZ84" s="24">
        <v>76.607777777777784</v>
      </c>
      <c r="FA84" s="24">
        <v>59.222222222222221</v>
      </c>
      <c r="FB84" s="24">
        <v>68.239300411291282</v>
      </c>
      <c r="FC84" s="24">
        <v>87.705980033271373</v>
      </c>
      <c r="FD84" s="24">
        <v>85.156033971885535</v>
      </c>
    </row>
    <row r="85" spans="1:160" x14ac:dyDescent="0.25">
      <c r="A85">
        <v>6007</v>
      </c>
      <c r="B85">
        <v>2</v>
      </c>
      <c r="C85">
        <v>24</v>
      </c>
      <c r="D85" s="1">
        <v>1.73</v>
      </c>
      <c r="E85">
        <v>62</v>
      </c>
      <c r="F85">
        <v>20.72</v>
      </c>
      <c r="G85">
        <v>2</v>
      </c>
      <c r="H85">
        <v>11</v>
      </c>
      <c r="I85">
        <v>25</v>
      </c>
      <c r="J85">
        <v>2</v>
      </c>
      <c r="K85">
        <v>2</v>
      </c>
      <c r="L85">
        <v>3</v>
      </c>
      <c r="M85" s="1">
        <v>22.03</v>
      </c>
      <c r="O85" s="1">
        <v>23</v>
      </c>
      <c r="P85" s="1">
        <v>0.97</v>
      </c>
      <c r="Q85" s="1">
        <v>25.87</v>
      </c>
      <c r="R85" s="1">
        <v>3.84</v>
      </c>
      <c r="S85" s="1">
        <v>22</v>
      </c>
      <c r="T85">
        <v>0</v>
      </c>
      <c r="U85">
        <v>2</v>
      </c>
      <c r="V85">
        <v>0</v>
      </c>
      <c r="W85">
        <v>6</v>
      </c>
      <c r="X85">
        <v>1</v>
      </c>
      <c r="Y85">
        <v>5</v>
      </c>
      <c r="Z85">
        <v>14</v>
      </c>
      <c r="AA85">
        <v>2</v>
      </c>
      <c r="AB85">
        <v>1</v>
      </c>
      <c r="AC85">
        <v>16</v>
      </c>
      <c r="AD85">
        <v>3</v>
      </c>
      <c r="AE85">
        <v>1</v>
      </c>
      <c r="AF85">
        <v>1</v>
      </c>
      <c r="AG85">
        <v>0</v>
      </c>
      <c r="AH85">
        <v>0</v>
      </c>
      <c r="AI85">
        <v>1</v>
      </c>
      <c r="AJ85">
        <v>0</v>
      </c>
      <c r="AK85">
        <v>2</v>
      </c>
      <c r="AL85">
        <v>5</v>
      </c>
      <c r="AM85">
        <v>1</v>
      </c>
      <c r="AN85">
        <v>10</v>
      </c>
      <c r="AO85">
        <v>8</v>
      </c>
      <c r="AP85">
        <v>6</v>
      </c>
      <c r="AQ85">
        <v>24</v>
      </c>
      <c r="AR85">
        <v>7</v>
      </c>
      <c r="AS85">
        <v>20</v>
      </c>
      <c r="AT85">
        <v>7</v>
      </c>
      <c r="AU85">
        <v>1</v>
      </c>
      <c r="AV85">
        <v>2</v>
      </c>
      <c r="AW85">
        <v>3</v>
      </c>
      <c r="AX85">
        <v>1</v>
      </c>
      <c r="AY85">
        <v>1</v>
      </c>
      <c r="AZ85">
        <v>7</v>
      </c>
      <c r="BA85">
        <v>1</v>
      </c>
      <c r="BB85">
        <v>1</v>
      </c>
      <c r="BC85">
        <v>1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4</v>
      </c>
      <c r="BJ85">
        <v>1</v>
      </c>
      <c r="BK85">
        <v>6</v>
      </c>
      <c r="BL85">
        <v>1</v>
      </c>
      <c r="BM85">
        <v>1</v>
      </c>
      <c r="BN85">
        <v>8</v>
      </c>
      <c r="BO85">
        <v>3</v>
      </c>
      <c r="BP85">
        <v>5</v>
      </c>
      <c r="BQ85">
        <v>2</v>
      </c>
      <c r="BR85">
        <v>1</v>
      </c>
      <c r="BS85">
        <v>1</v>
      </c>
      <c r="BT85">
        <v>2</v>
      </c>
      <c r="BU85">
        <v>1</v>
      </c>
      <c r="BV85">
        <v>1</v>
      </c>
      <c r="BW85">
        <v>2</v>
      </c>
      <c r="BX85">
        <v>1</v>
      </c>
      <c r="BY85">
        <v>1</v>
      </c>
      <c r="BZ85">
        <v>1</v>
      </c>
      <c r="CA85">
        <v>4</v>
      </c>
      <c r="CB85">
        <v>1</v>
      </c>
      <c r="CC85">
        <v>1</v>
      </c>
      <c r="CD85">
        <v>7</v>
      </c>
      <c r="CE85">
        <v>2</v>
      </c>
      <c r="CF85">
        <v>2</v>
      </c>
      <c r="CG85">
        <v>22</v>
      </c>
      <c r="CH85">
        <v>14</v>
      </c>
      <c r="CI85">
        <v>12</v>
      </c>
      <c r="CJ85">
        <v>21</v>
      </c>
      <c r="CK85">
        <v>16</v>
      </c>
      <c r="CL85">
        <v>24</v>
      </c>
      <c r="CM85">
        <v>16</v>
      </c>
      <c r="CN85">
        <v>16</v>
      </c>
      <c r="CO85">
        <v>28</v>
      </c>
      <c r="CP85" s="26">
        <v>15</v>
      </c>
      <c r="CQ85" s="20">
        <v>6</v>
      </c>
      <c r="CR85" s="24">
        <v>25.872222222222224</v>
      </c>
      <c r="CS85" s="24">
        <v>25.963888888888889</v>
      </c>
      <c r="CT85" s="24">
        <v>9.5194444444444439</v>
      </c>
      <c r="CU85" s="24">
        <v>458.83333333333331</v>
      </c>
      <c r="CV85" s="24">
        <v>445.83333333333331</v>
      </c>
      <c r="CW85" s="24">
        <v>5.5</v>
      </c>
      <c r="CX85" s="24">
        <v>97.256971990827026</v>
      </c>
      <c r="CY85" s="25">
        <v>7.5</v>
      </c>
      <c r="CZ85" s="20">
        <v>6</v>
      </c>
      <c r="DA85" s="24">
        <v>25.872222222222224</v>
      </c>
      <c r="DB85" s="24">
        <v>26.175000000000001</v>
      </c>
      <c r="DC85" s="24">
        <v>9.4749999999999996</v>
      </c>
      <c r="DD85" s="24">
        <v>9.5750000000000011</v>
      </c>
      <c r="DE85" s="24">
        <v>462.16666666666669</v>
      </c>
      <c r="DF85" s="24">
        <v>401</v>
      </c>
      <c r="DG85" s="24">
        <v>18.166666666666668</v>
      </c>
      <c r="DH85" s="24">
        <v>87.098333333333343</v>
      </c>
      <c r="DI85" s="24">
        <v>37</v>
      </c>
      <c r="DJ85" s="24">
        <v>86.741336030980662</v>
      </c>
      <c r="DK85" s="24">
        <v>90.974353395529022</v>
      </c>
      <c r="DL85" s="25">
        <v>86.503431388326362</v>
      </c>
      <c r="DM85" s="20">
        <v>12</v>
      </c>
      <c r="DN85" s="24">
        <v>24.268181818181812</v>
      </c>
      <c r="DO85" s="24">
        <v>24.41212121212121</v>
      </c>
      <c r="DP85" s="24">
        <v>8.6190476190476186</v>
      </c>
      <c r="DQ85" s="24">
        <v>510.16666666666669</v>
      </c>
      <c r="DR85" s="24">
        <v>524</v>
      </c>
      <c r="DS85" s="24">
        <v>19</v>
      </c>
      <c r="DT85" s="24">
        <v>94.621107380341044</v>
      </c>
      <c r="DU85" s="25">
        <v>1.8</v>
      </c>
      <c r="DV85" s="20">
        <v>12</v>
      </c>
      <c r="DW85" s="24">
        <v>24.995833333333334</v>
      </c>
      <c r="DX85" s="24">
        <v>25.237500000000001</v>
      </c>
      <c r="DY85" s="24">
        <v>8.9666666666666668</v>
      </c>
      <c r="DZ85" s="24">
        <v>9.1208333333333336</v>
      </c>
      <c r="EA85" s="24">
        <v>487.5</v>
      </c>
      <c r="EB85" s="24">
        <v>438</v>
      </c>
      <c r="EC85" s="24">
        <v>438</v>
      </c>
      <c r="ED85" s="24">
        <v>89.987499999999997</v>
      </c>
      <c r="EE85" s="24">
        <v>25.75</v>
      </c>
      <c r="EF85" s="24">
        <v>90.557861754457676</v>
      </c>
      <c r="EG85" s="24">
        <v>94.620588289143711</v>
      </c>
      <c r="EH85" s="25">
        <v>92.023155135426194</v>
      </c>
      <c r="EI85" s="20">
        <v>6</v>
      </c>
      <c r="EJ85" s="24">
        <v>23.594444444444445</v>
      </c>
      <c r="EK85" s="24">
        <v>23.844444444444445</v>
      </c>
      <c r="EL85" s="24">
        <v>8</v>
      </c>
      <c r="EM85" s="24">
        <v>500.25</v>
      </c>
      <c r="EN85" s="24">
        <v>524</v>
      </c>
      <c r="EO85" s="24">
        <v>22.5</v>
      </c>
      <c r="EP85" s="24">
        <v>94.621107380341044</v>
      </c>
      <c r="EQ85" s="25">
        <v>3</v>
      </c>
      <c r="ER85" s="20">
        <v>2</v>
      </c>
      <c r="ES85" s="24">
        <v>23.558333333333334</v>
      </c>
      <c r="ET85" s="24">
        <v>23.966666666666669</v>
      </c>
      <c r="EU85" s="24">
        <v>8.6166666666666671</v>
      </c>
      <c r="EV85" s="24">
        <v>8.7916666666666661</v>
      </c>
      <c r="EW85" s="24">
        <v>554</v>
      </c>
      <c r="EX85" s="24">
        <v>489.5</v>
      </c>
      <c r="EY85" s="24">
        <v>24.5</v>
      </c>
      <c r="EZ85" s="24">
        <v>88.194999999999993</v>
      </c>
      <c r="FA85" s="24">
        <v>29.5</v>
      </c>
      <c r="FB85" s="24">
        <v>88.80348982135439</v>
      </c>
      <c r="FC85" s="24">
        <v>94.716303638198113</v>
      </c>
      <c r="FD85" s="24">
        <v>91.126269785022444</v>
      </c>
    </row>
    <row r="86" spans="1:160" x14ac:dyDescent="0.25">
      <c r="A86">
        <v>6009</v>
      </c>
      <c r="B86">
        <v>2</v>
      </c>
      <c r="C86">
        <v>31</v>
      </c>
      <c r="D86" s="1">
        <v>1.6</v>
      </c>
      <c r="E86">
        <v>53</v>
      </c>
      <c r="F86">
        <v>20.7</v>
      </c>
      <c r="G86">
        <v>1</v>
      </c>
      <c r="H86">
        <v>15</v>
      </c>
      <c r="I86">
        <v>24</v>
      </c>
      <c r="J86">
        <v>2</v>
      </c>
      <c r="K86">
        <v>2</v>
      </c>
      <c r="L86">
        <v>3</v>
      </c>
      <c r="M86" s="1">
        <v>24.07</v>
      </c>
      <c r="O86" s="1">
        <v>23</v>
      </c>
      <c r="P86" s="1">
        <v>-1.07</v>
      </c>
      <c r="Q86" s="1">
        <v>25.72</v>
      </c>
      <c r="R86" s="1">
        <v>1.65</v>
      </c>
      <c r="S86" s="1">
        <v>22</v>
      </c>
      <c r="T86">
        <v>0</v>
      </c>
      <c r="U86">
        <v>1</v>
      </c>
      <c r="V86">
        <v>0</v>
      </c>
      <c r="W86">
        <v>1</v>
      </c>
      <c r="X86">
        <v>1</v>
      </c>
      <c r="Y86">
        <v>13</v>
      </c>
      <c r="Z86">
        <v>19</v>
      </c>
      <c r="AA86">
        <v>2</v>
      </c>
      <c r="AB86">
        <v>1</v>
      </c>
      <c r="AC86">
        <v>22</v>
      </c>
      <c r="AD86">
        <v>4</v>
      </c>
      <c r="AE86">
        <v>1</v>
      </c>
      <c r="AF86">
        <v>3</v>
      </c>
      <c r="AG86">
        <v>0</v>
      </c>
      <c r="AH86">
        <v>0</v>
      </c>
      <c r="AI86">
        <v>1</v>
      </c>
      <c r="AJ86">
        <v>0</v>
      </c>
      <c r="AK86">
        <v>2</v>
      </c>
      <c r="AL86">
        <v>7</v>
      </c>
      <c r="AM86">
        <v>2</v>
      </c>
      <c r="AN86">
        <v>9</v>
      </c>
      <c r="AO86">
        <v>7</v>
      </c>
      <c r="AP86">
        <v>2</v>
      </c>
      <c r="AQ86">
        <v>18</v>
      </c>
      <c r="AR86">
        <v>7</v>
      </c>
      <c r="AS86">
        <v>10</v>
      </c>
      <c r="AT86">
        <v>5</v>
      </c>
      <c r="AU86">
        <v>1</v>
      </c>
      <c r="AV86">
        <v>9</v>
      </c>
      <c r="AW86">
        <v>18</v>
      </c>
      <c r="AX86">
        <v>2</v>
      </c>
      <c r="AY86">
        <v>1</v>
      </c>
      <c r="AZ86">
        <v>16</v>
      </c>
      <c r="BA86">
        <v>3</v>
      </c>
      <c r="BB86">
        <v>2</v>
      </c>
      <c r="BC86">
        <v>3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8</v>
      </c>
      <c r="BJ86">
        <v>2</v>
      </c>
      <c r="BK86">
        <v>9</v>
      </c>
      <c r="BL86">
        <v>4</v>
      </c>
      <c r="BM86">
        <v>2</v>
      </c>
      <c r="BN86">
        <v>15</v>
      </c>
      <c r="BO86">
        <v>3</v>
      </c>
      <c r="BP86">
        <v>9</v>
      </c>
      <c r="BQ86">
        <v>2</v>
      </c>
      <c r="BR86">
        <v>1</v>
      </c>
      <c r="BS86">
        <v>1</v>
      </c>
      <c r="BT86">
        <v>2</v>
      </c>
      <c r="BU86">
        <v>1</v>
      </c>
      <c r="BV86">
        <v>1</v>
      </c>
      <c r="BW86">
        <v>3</v>
      </c>
      <c r="BX86">
        <v>2</v>
      </c>
      <c r="BY86">
        <v>1</v>
      </c>
      <c r="BZ86">
        <v>2</v>
      </c>
      <c r="CA86">
        <v>3</v>
      </c>
      <c r="CB86">
        <v>1</v>
      </c>
      <c r="CC86">
        <v>5</v>
      </c>
      <c r="CD86">
        <v>4</v>
      </c>
      <c r="CE86">
        <v>2</v>
      </c>
      <c r="CF86">
        <v>1</v>
      </c>
      <c r="CG86">
        <v>23</v>
      </c>
      <c r="CH86">
        <v>29</v>
      </c>
      <c r="CI86">
        <v>22</v>
      </c>
      <c r="CJ86">
        <v>16</v>
      </c>
      <c r="CK86">
        <v>25</v>
      </c>
      <c r="CL86">
        <v>21</v>
      </c>
      <c r="CM86">
        <v>18</v>
      </c>
      <c r="CN86">
        <v>25</v>
      </c>
      <c r="CO86">
        <v>17</v>
      </c>
      <c r="CP86" s="26">
        <v>19</v>
      </c>
      <c r="CQ86" s="20">
        <v>7</v>
      </c>
      <c r="CR86" s="24">
        <v>25.666666666666668</v>
      </c>
      <c r="CS86" s="24">
        <v>26.583333333333336</v>
      </c>
      <c r="CT86" s="24">
        <v>10.523809523809522</v>
      </c>
      <c r="CU86" s="24">
        <v>531.42857142857144</v>
      </c>
      <c r="CV86" s="24">
        <v>470</v>
      </c>
      <c r="CW86" s="24">
        <v>55</v>
      </c>
      <c r="CX86" s="24">
        <v>88.799163194390388</v>
      </c>
      <c r="CY86" s="25">
        <v>6.4285714285714288</v>
      </c>
      <c r="CZ86" s="20">
        <v>7</v>
      </c>
      <c r="DA86" s="24">
        <v>25.721428571428572</v>
      </c>
      <c r="DB86" s="24">
        <v>26.2</v>
      </c>
      <c r="DC86" s="24">
        <v>10.890476190476191</v>
      </c>
      <c r="DD86" s="24">
        <v>11.023809523809524</v>
      </c>
      <c r="DE86" s="24">
        <v>558.14285714285711</v>
      </c>
      <c r="DF86" s="24">
        <v>486</v>
      </c>
      <c r="DG86" s="24">
        <v>28.714285714285715</v>
      </c>
      <c r="DH86" s="24">
        <v>87.178571428571431</v>
      </c>
      <c r="DI86" s="24">
        <v>35.428571428571431</v>
      </c>
      <c r="DJ86" s="24">
        <v>90.150562180158119</v>
      </c>
      <c r="DK86" s="24">
        <v>93.180679773049675</v>
      </c>
      <c r="DL86" s="25">
        <v>90.767676954263706</v>
      </c>
      <c r="DM86" s="20">
        <v>13</v>
      </c>
      <c r="DN86" s="24">
        <v>23.192307692307693</v>
      </c>
      <c r="DO86" s="24">
        <v>24.333333333333336</v>
      </c>
      <c r="DP86" s="24">
        <v>9.5384615384615383</v>
      </c>
      <c r="DQ86" s="24">
        <v>620.76923076923072</v>
      </c>
      <c r="DR86" s="24">
        <v>548.84615384615381</v>
      </c>
      <c r="DS86" s="24">
        <v>68.461538461538467</v>
      </c>
      <c r="DT86" s="24">
        <v>88.520383535442392</v>
      </c>
      <c r="DU86" s="25">
        <v>3.4615384615384617</v>
      </c>
      <c r="DV86" s="20">
        <v>13</v>
      </c>
      <c r="DW86" s="24">
        <v>23.354166666666668</v>
      </c>
      <c r="DX86" s="24">
        <v>24.545833333333334</v>
      </c>
      <c r="DY86" s="24">
        <v>8.8958333333333321</v>
      </c>
      <c r="DZ86" s="24">
        <v>9.2638888888888893</v>
      </c>
      <c r="EA86" s="24">
        <v>594.58333333333337</v>
      </c>
      <c r="EB86" s="24">
        <v>461.91666666666669</v>
      </c>
      <c r="EC86" s="24">
        <v>461.91666666666669</v>
      </c>
      <c r="ED86" s="24">
        <v>77.999166666666667</v>
      </c>
      <c r="EE86" s="24">
        <v>39.083333333333336</v>
      </c>
      <c r="EF86" s="24">
        <v>70.878704078044862</v>
      </c>
      <c r="EG86" s="24">
        <v>93.846721921855021</v>
      </c>
      <c r="EH86" s="25">
        <v>86.498400528642321</v>
      </c>
      <c r="EI86" s="20">
        <v>13</v>
      </c>
      <c r="EJ86" s="24">
        <v>23.192307692307693</v>
      </c>
      <c r="EK86" s="24">
        <v>24.333333333333336</v>
      </c>
      <c r="EL86" s="24">
        <v>9.5384615384615383</v>
      </c>
      <c r="EM86" s="24">
        <v>620.76923076923072</v>
      </c>
      <c r="EN86" s="24">
        <v>548.84615384615381</v>
      </c>
      <c r="EO86" s="24">
        <v>68.461538461538467</v>
      </c>
      <c r="EP86" s="24">
        <v>88.520383535442392</v>
      </c>
      <c r="EQ86" s="25">
        <v>3.4615384615384617</v>
      </c>
      <c r="ER86" s="20">
        <v>9</v>
      </c>
      <c r="ES86" s="24">
        <v>23.324074074074073</v>
      </c>
      <c r="ET86" s="24">
        <v>24.690740740740736</v>
      </c>
      <c r="EU86" s="24">
        <v>9.2277777777777779</v>
      </c>
      <c r="EV86" s="24">
        <v>9.6481481481481488</v>
      </c>
      <c r="EW86" s="24">
        <v>619.44444444444446</v>
      </c>
      <c r="EX86" s="24">
        <v>470.11111111111109</v>
      </c>
      <c r="EY86" s="24">
        <v>82</v>
      </c>
      <c r="EZ86" s="24">
        <v>76.083333333333329</v>
      </c>
      <c r="FA86" s="24">
        <v>42.111111111111114</v>
      </c>
      <c r="FB86" s="24">
        <v>67.477683424143422</v>
      </c>
      <c r="FC86" s="24">
        <v>93.637847597969056</v>
      </c>
      <c r="FD86" s="24">
        <v>85.190132125448045</v>
      </c>
    </row>
    <row r="87" spans="1:160" x14ac:dyDescent="0.25">
      <c r="A87">
        <v>6012</v>
      </c>
      <c r="B87">
        <v>1</v>
      </c>
      <c r="C87">
        <v>28</v>
      </c>
      <c r="D87" s="1">
        <v>1.71</v>
      </c>
      <c r="E87">
        <v>65</v>
      </c>
      <c r="F87">
        <v>22.23</v>
      </c>
      <c r="G87">
        <v>2</v>
      </c>
      <c r="H87">
        <v>11</v>
      </c>
      <c r="I87">
        <v>37</v>
      </c>
      <c r="J87">
        <v>2</v>
      </c>
      <c r="K87">
        <v>2</v>
      </c>
      <c r="L87">
        <v>3</v>
      </c>
      <c r="M87" s="1">
        <v>22.08</v>
      </c>
      <c r="O87" s="1">
        <v>22</v>
      </c>
      <c r="P87" s="1">
        <v>-0.08</v>
      </c>
      <c r="Q87" s="1">
        <v>25.919999999999998</v>
      </c>
      <c r="R87" s="1">
        <v>3.84</v>
      </c>
      <c r="S87" s="1">
        <v>21</v>
      </c>
      <c r="T87">
        <v>0</v>
      </c>
      <c r="U87">
        <v>1</v>
      </c>
      <c r="V87">
        <v>0</v>
      </c>
      <c r="W87">
        <v>10</v>
      </c>
      <c r="X87">
        <v>2</v>
      </c>
      <c r="Y87">
        <v>1</v>
      </c>
      <c r="Z87">
        <v>0</v>
      </c>
      <c r="AA87">
        <v>1</v>
      </c>
      <c r="AB87">
        <v>1</v>
      </c>
      <c r="AC87">
        <v>13</v>
      </c>
      <c r="AD87">
        <v>2</v>
      </c>
      <c r="AE87">
        <v>1</v>
      </c>
      <c r="AF87">
        <v>1</v>
      </c>
      <c r="AG87">
        <v>2</v>
      </c>
      <c r="AH87">
        <v>0</v>
      </c>
      <c r="AI87">
        <v>1</v>
      </c>
      <c r="AJ87">
        <v>0</v>
      </c>
      <c r="AK87">
        <v>1</v>
      </c>
      <c r="AL87">
        <v>6</v>
      </c>
      <c r="AM87">
        <v>2</v>
      </c>
      <c r="AN87">
        <v>3</v>
      </c>
      <c r="AO87">
        <v>2</v>
      </c>
      <c r="AP87">
        <v>2</v>
      </c>
      <c r="AQ87">
        <v>7</v>
      </c>
      <c r="AR87">
        <v>3</v>
      </c>
      <c r="AS87">
        <v>4</v>
      </c>
      <c r="AT87">
        <v>4</v>
      </c>
      <c r="AU87">
        <v>1</v>
      </c>
      <c r="AV87">
        <v>16</v>
      </c>
      <c r="AW87">
        <v>13</v>
      </c>
      <c r="AX87">
        <v>1</v>
      </c>
      <c r="AY87">
        <v>1</v>
      </c>
      <c r="AZ87">
        <v>6</v>
      </c>
      <c r="BA87">
        <v>1</v>
      </c>
      <c r="BB87">
        <v>2</v>
      </c>
      <c r="BC87">
        <v>3</v>
      </c>
      <c r="BD87">
        <v>0</v>
      </c>
      <c r="BE87">
        <v>0</v>
      </c>
      <c r="BF87">
        <v>1</v>
      </c>
      <c r="BG87">
        <v>3</v>
      </c>
      <c r="BH87">
        <v>1</v>
      </c>
      <c r="BI87">
        <v>10</v>
      </c>
      <c r="BJ87">
        <v>2</v>
      </c>
      <c r="BK87">
        <v>2</v>
      </c>
      <c r="BL87">
        <v>1</v>
      </c>
      <c r="BM87">
        <v>1</v>
      </c>
      <c r="BN87">
        <v>4</v>
      </c>
      <c r="BO87">
        <v>10</v>
      </c>
      <c r="BP87">
        <v>0</v>
      </c>
      <c r="BQ87">
        <v>4</v>
      </c>
      <c r="BR87">
        <v>2</v>
      </c>
      <c r="BS87">
        <v>2</v>
      </c>
      <c r="BT87">
        <v>4</v>
      </c>
      <c r="BU87">
        <v>2</v>
      </c>
      <c r="BV87">
        <v>2</v>
      </c>
      <c r="BW87">
        <v>3</v>
      </c>
      <c r="BX87">
        <v>2</v>
      </c>
      <c r="BY87">
        <v>1</v>
      </c>
      <c r="BZ87">
        <v>2</v>
      </c>
      <c r="CA87">
        <v>2</v>
      </c>
      <c r="CB87">
        <v>2</v>
      </c>
      <c r="CC87">
        <v>10</v>
      </c>
      <c r="CD87">
        <v>4</v>
      </c>
      <c r="CE87">
        <v>2</v>
      </c>
      <c r="CF87">
        <v>2</v>
      </c>
      <c r="CG87">
        <v>18</v>
      </c>
      <c r="CH87">
        <v>16</v>
      </c>
      <c r="CI87">
        <v>24</v>
      </c>
      <c r="CJ87">
        <v>19</v>
      </c>
      <c r="CK87">
        <v>19</v>
      </c>
      <c r="CL87">
        <v>19</v>
      </c>
      <c r="CM87">
        <v>15</v>
      </c>
      <c r="CN87">
        <v>17</v>
      </c>
      <c r="CO87">
        <v>14</v>
      </c>
      <c r="CP87" s="26">
        <v>15</v>
      </c>
      <c r="CQ87" s="20">
        <v>7</v>
      </c>
      <c r="CR87" s="24">
        <v>25.747619047619047</v>
      </c>
      <c r="CS87" s="24">
        <v>25.942857142857143</v>
      </c>
      <c r="CT87" s="24">
        <v>9.3261904761904759</v>
      </c>
      <c r="CU87" s="24">
        <v>454.71428571428572</v>
      </c>
      <c r="CV87" s="24">
        <v>441.42857142857144</v>
      </c>
      <c r="CW87" s="24">
        <v>11.714285714285714</v>
      </c>
      <c r="CX87" s="24">
        <v>96.865025730173571</v>
      </c>
      <c r="CY87" s="25">
        <v>1.5714285714285714</v>
      </c>
      <c r="CZ87" s="20">
        <v>7</v>
      </c>
      <c r="DA87" s="24">
        <v>25.921428571428571</v>
      </c>
      <c r="DB87" s="24">
        <v>26.116666666666667</v>
      </c>
      <c r="DC87" s="24">
        <v>9.0904761904761902</v>
      </c>
      <c r="DD87" s="24">
        <v>9.3928571428571423</v>
      </c>
      <c r="DE87" s="24">
        <v>448.28571428571428</v>
      </c>
      <c r="DF87" s="24">
        <v>381.42857142857144</v>
      </c>
      <c r="DG87" s="24">
        <v>11.714285714285714</v>
      </c>
      <c r="DH87" s="24">
        <v>83.862857142857138</v>
      </c>
      <c r="DI87" s="24">
        <v>37</v>
      </c>
      <c r="DJ87" s="24">
        <v>88.39484056686679</v>
      </c>
      <c r="DK87" s="24">
        <v>90.18575605944838</v>
      </c>
      <c r="DL87" s="25">
        <v>88.124888566263422</v>
      </c>
      <c r="DM87" s="20">
        <v>10</v>
      </c>
      <c r="DN87" s="24">
        <v>22.208333333333332</v>
      </c>
      <c r="DO87" s="24">
        <v>22.766666666666666</v>
      </c>
      <c r="DP87" s="24">
        <v>8.586666666666666</v>
      </c>
      <c r="DQ87" s="24">
        <v>622.70000000000005</v>
      </c>
      <c r="DR87" s="24">
        <v>594.75</v>
      </c>
      <c r="DS87" s="24">
        <v>37.222222222222221</v>
      </c>
      <c r="DT87" s="24">
        <v>93.63061940271858</v>
      </c>
      <c r="DU87" s="25">
        <v>3.2222222222222223</v>
      </c>
      <c r="DV87" s="20">
        <v>11</v>
      </c>
      <c r="DW87" s="24">
        <v>22.358333333333331</v>
      </c>
      <c r="DX87" s="24">
        <v>22.716666666666669</v>
      </c>
      <c r="DY87" s="24">
        <v>8.331666666666667</v>
      </c>
      <c r="DZ87" s="24">
        <v>8.586666666666666</v>
      </c>
      <c r="EA87" s="24">
        <v>613.70000000000005</v>
      </c>
      <c r="EB87" s="24">
        <v>531</v>
      </c>
      <c r="EC87" s="24">
        <v>531</v>
      </c>
      <c r="ED87" s="24">
        <v>86.49</v>
      </c>
      <c r="EE87" s="24">
        <v>45.9</v>
      </c>
      <c r="EF87" s="24">
        <v>88.139016710321144</v>
      </c>
      <c r="EG87" s="24">
        <v>92.977113788328651</v>
      </c>
      <c r="EH87" s="25">
        <v>91.274379980167282</v>
      </c>
      <c r="EI87" s="20">
        <v>10</v>
      </c>
      <c r="EJ87" s="24">
        <v>22.208333333333332</v>
      </c>
      <c r="EK87" s="24">
        <v>22.766666666666666</v>
      </c>
      <c r="EL87" s="24">
        <v>8.586666666666666</v>
      </c>
      <c r="EM87" s="24">
        <v>622.70000000000005</v>
      </c>
      <c r="EN87" s="24">
        <v>594.75</v>
      </c>
      <c r="EO87" s="24">
        <v>37.222222222222221</v>
      </c>
      <c r="EP87" s="24">
        <v>93.63061940271858</v>
      </c>
      <c r="EQ87" s="25">
        <v>3.2222222222222223</v>
      </c>
      <c r="ER87" s="20">
        <v>9</v>
      </c>
      <c r="ES87" s="24">
        <v>22.231481481481481</v>
      </c>
      <c r="ET87" s="24">
        <v>22.625925925925927</v>
      </c>
      <c r="EU87" s="24">
        <v>8.0388888888888879</v>
      </c>
      <c r="EV87" s="24">
        <v>8.318518518518518</v>
      </c>
      <c r="EW87" s="24">
        <v>605.22222222222217</v>
      </c>
      <c r="EX87" s="24">
        <v>518.77777777777783</v>
      </c>
      <c r="EY87" s="24">
        <v>23.666666666666668</v>
      </c>
      <c r="EZ87" s="24">
        <v>85.777777777777771</v>
      </c>
      <c r="FA87" s="24">
        <v>46</v>
      </c>
      <c r="FB87" s="24">
        <v>87.255912286830267</v>
      </c>
      <c r="FC87" s="24">
        <v>93.066358315534259</v>
      </c>
      <c r="FD87" s="24">
        <v>91.271050219509533</v>
      </c>
    </row>
    <row r="88" spans="1:160" x14ac:dyDescent="0.25">
      <c r="A88">
        <v>6015</v>
      </c>
      <c r="B88">
        <v>1</v>
      </c>
      <c r="C88">
        <v>24</v>
      </c>
      <c r="D88" s="1">
        <v>1.86</v>
      </c>
      <c r="E88">
        <v>70</v>
      </c>
      <c r="F88">
        <v>20.23</v>
      </c>
      <c r="G88">
        <v>1</v>
      </c>
      <c r="H88">
        <v>19</v>
      </c>
      <c r="I88">
        <v>20</v>
      </c>
      <c r="J88">
        <v>1</v>
      </c>
      <c r="K88">
        <v>2</v>
      </c>
      <c r="L88">
        <v>3</v>
      </c>
      <c r="M88" s="1">
        <v>22.72</v>
      </c>
      <c r="O88" s="1">
        <v>24.5</v>
      </c>
      <c r="P88" s="1">
        <v>1.78</v>
      </c>
      <c r="Q88" s="1">
        <v>25.86</v>
      </c>
      <c r="R88" s="1">
        <v>3.14</v>
      </c>
      <c r="S88" s="1">
        <v>23.5</v>
      </c>
      <c r="T88">
        <v>0</v>
      </c>
      <c r="U88">
        <v>1</v>
      </c>
      <c r="V88">
        <v>0</v>
      </c>
      <c r="W88">
        <v>1</v>
      </c>
      <c r="X88">
        <v>1</v>
      </c>
      <c r="Y88">
        <v>4</v>
      </c>
      <c r="Z88">
        <v>9</v>
      </c>
      <c r="AA88">
        <v>1</v>
      </c>
      <c r="AB88">
        <v>1</v>
      </c>
      <c r="AC88">
        <v>3</v>
      </c>
      <c r="AD88">
        <v>1</v>
      </c>
      <c r="AE88">
        <v>3</v>
      </c>
      <c r="AF88">
        <v>3</v>
      </c>
      <c r="AG88">
        <v>1</v>
      </c>
      <c r="AH88">
        <v>1</v>
      </c>
      <c r="AI88">
        <v>2</v>
      </c>
      <c r="AJ88">
        <v>3</v>
      </c>
      <c r="AK88">
        <v>1</v>
      </c>
      <c r="AL88">
        <v>14</v>
      </c>
      <c r="AM88">
        <v>2</v>
      </c>
      <c r="AN88">
        <v>10</v>
      </c>
      <c r="AO88">
        <v>3</v>
      </c>
      <c r="AP88">
        <v>3</v>
      </c>
      <c r="AQ88">
        <v>16</v>
      </c>
      <c r="AR88">
        <v>4</v>
      </c>
      <c r="AS88">
        <v>10</v>
      </c>
      <c r="AT88">
        <v>2</v>
      </c>
      <c r="AU88">
        <v>1</v>
      </c>
      <c r="AV88">
        <v>4</v>
      </c>
      <c r="AW88">
        <v>7</v>
      </c>
      <c r="AX88">
        <v>1</v>
      </c>
      <c r="AY88">
        <v>1</v>
      </c>
      <c r="AZ88">
        <v>6</v>
      </c>
      <c r="BA88">
        <v>1</v>
      </c>
      <c r="BB88">
        <v>2</v>
      </c>
      <c r="BC88">
        <v>2</v>
      </c>
      <c r="BD88">
        <v>0</v>
      </c>
      <c r="BE88">
        <v>0</v>
      </c>
      <c r="BF88">
        <v>2</v>
      </c>
      <c r="BG88">
        <v>0</v>
      </c>
      <c r="BH88">
        <v>1</v>
      </c>
      <c r="BI88">
        <v>7</v>
      </c>
      <c r="BJ88">
        <v>2</v>
      </c>
      <c r="BK88">
        <v>3</v>
      </c>
      <c r="BL88">
        <v>5</v>
      </c>
      <c r="BM88">
        <v>1</v>
      </c>
      <c r="BN88">
        <v>9</v>
      </c>
      <c r="BO88">
        <v>0</v>
      </c>
      <c r="BP88">
        <v>1</v>
      </c>
      <c r="BQ88">
        <v>4</v>
      </c>
      <c r="BR88">
        <v>2</v>
      </c>
      <c r="BS88">
        <v>2</v>
      </c>
      <c r="BT88">
        <v>4</v>
      </c>
      <c r="BU88">
        <v>2</v>
      </c>
      <c r="BV88">
        <v>2</v>
      </c>
      <c r="BW88">
        <v>2</v>
      </c>
      <c r="BX88">
        <v>1</v>
      </c>
      <c r="BY88">
        <v>1</v>
      </c>
      <c r="BZ88">
        <v>1</v>
      </c>
      <c r="CA88">
        <v>3</v>
      </c>
      <c r="CB88">
        <v>1</v>
      </c>
      <c r="CC88">
        <v>5</v>
      </c>
      <c r="CD88">
        <v>6</v>
      </c>
      <c r="CE88">
        <v>2</v>
      </c>
      <c r="CF88">
        <v>1</v>
      </c>
      <c r="CG88">
        <v>23</v>
      </c>
      <c r="CH88">
        <v>21</v>
      </c>
      <c r="CI88">
        <v>19</v>
      </c>
      <c r="CJ88">
        <v>27</v>
      </c>
      <c r="CK88">
        <v>20</v>
      </c>
      <c r="CL88">
        <v>30</v>
      </c>
      <c r="CM88">
        <v>28</v>
      </c>
      <c r="CN88">
        <v>17</v>
      </c>
      <c r="CO88">
        <v>18</v>
      </c>
      <c r="CP88" s="26">
        <v>14</v>
      </c>
      <c r="CQ88" s="20">
        <v>7</v>
      </c>
      <c r="CR88" s="24">
        <v>25.50238095238095</v>
      </c>
      <c r="CS88" s="24">
        <v>26.038095238095242</v>
      </c>
      <c r="CT88" s="24">
        <v>9.2523809523809515</v>
      </c>
      <c r="CU88" s="24">
        <v>465</v>
      </c>
      <c r="CV88" s="24">
        <v>421.42857142857144</v>
      </c>
      <c r="CW88" s="24">
        <v>32.142857142857146</v>
      </c>
      <c r="CX88" s="24">
        <v>90.607552672475393</v>
      </c>
      <c r="CY88" s="25">
        <v>11.428571428571429</v>
      </c>
      <c r="CZ88" s="20">
        <v>7</v>
      </c>
      <c r="DA88" s="24">
        <v>25.861904761904761</v>
      </c>
      <c r="DB88" s="24">
        <v>25.895238095238092</v>
      </c>
      <c r="DC88" s="24">
        <v>9.0500000000000007</v>
      </c>
      <c r="DD88" s="24">
        <v>9.1595238095238098</v>
      </c>
      <c r="DE88" s="24">
        <v>437.85714285714283</v>
      </c>
      <c r="DF88" s="24">
        <v>367.28571428571428</v>
      </c>
      <c r="DG88" s="24">
        <v>2</v>
      </c>
      <c r="DH88" s="24">
        <v>83.795714285714283</v>
      </c>
      <c r="DI88" s="24">
        <v>62</v>
      </c>
      <c r="DJ88" s="24">
        <v>87.315536245867662</v>
      </c>
      <c r="DK88" s="24">
        <v>81.465858419178304</v>
      </c>
      <c r="DL88" s="25">
        <v>85.857236533751873</v>
      </c>
      <c r="DM88" s="20">
        <v>2</v>
      </c>
      <c r="DN88" s="24">
        <v>24</v>
      </c>
      <c r="DO88" s="24">
        <v>25.25</v>
      </c>
      <c r="DP88" s="24">
        <v>8</v>
      </c>
      <c r="DQ88" s="24">
        <v>480</v>
      </c>
      <c r="DR88" s="24">
        <v>395</v>
      </c>
      <c r="DS88" s="24">
        <v>75</v>
      </c>
      <c r="DT88" s="24">
        <v>82.291666666666657</v>
      </c>
      <c r="DU88" s="25">
        <v>10</v>
      </c>
      <c r="DV88" s="20">
        <v>2</v>
      </c>
      <c r="DW88" s="24">
        <v>24</v>
      </c>
      <c r="DX88" s="24">
        <v>25.05</v>
      </c>
      <c r="DY88" s="24">
        <v>7.9833333333333325</v>
      </c>
      <c r="DZ88" s="24">
        <v>8</v>
      </c>
      <c r="EA88" s="24">
        <v>480</v>
      </c>
      <c r="EB88" s="24">
        <v>364.5</v>
      </c>
      <c r="EC88" s="24">
        <v>364.5</v>
      </c>
      <c r="ED88" s="24">
        <v>75.935000000000002</v>
      </c>
      <c r="EE88" s="24">
        <v>51.5</v>
      </c>
      <c r="EF88" s="24">
        <v>58.125</v>
      </c>
      <c r="EG88" s="24">
        <v>85</v>
      </c>
      <c r="EH88" s="25">
        <v>86.5625</v>
      </c>
      <c r="EI88" s="20">
        <v>2</v>
      </c>
      <c r="EJ88" s="24">
        <v>24</v>
      </c>
      <c r="EK88" s="24">
        <v>25.25</v>
      </c>
      <c r="EL88" s="24">
        <v>8</v>
      </c>
      <c r="EM88" s="24">
        <v>480</v>
      </c>
      <c r="EN88" s="24">
        <v>395</v>
      </c>
      <c r="EO88" s="24">
        <v>75</v>
      </c>
      <c r="EP88" s="24">
        <v>82.291666666666657</v>
      </c>
      <c r="EQ88" s="25">
        <v>10</v>
      </c>
      <c r="ER88" s="20">
        <v>2</v>
      </c>
      <c r="ES88" s="24">
        <v>24</v>
      </c>
      <c r="ET88" s="24">
        <v>25.05</v>
      </c>
      <c r="EU88" s="24">
        <v>7.9833333333333325</v>
      </c>
      <c r="EV88" s="24">
        <v>8</v>
      </c>
      <c r="EW88" s="24">
        <v>480</v>
      </c>
      <c r="EX88" s="24">
        <v>364.5</v>
      </c>
      <c r="EY88" s="24">
        <v>63</v>
      </c>
      <c r="EZ88" s="24">
        <v>75.935000000000002</v>
      </c>
      <c r="FA88" s="24">
        <v>51.5</v>
      </c>
      <c r="FB88" s="24">
        <v>58.125</v>
      </c>
      <c r="FC88" s="24">
        <v>85</v>
      </c>
      <c r="FD88" s="24">
        <v>86.5625</v>
      </c>
    </row>
    <row r="89" spans="1:160" x14ac:dyDescent="0.25">
      <c r="A89">
        <v>6016</v>
      </c>
      <c r="B89">
        <v>2</v>
      </c>
      <c r="C89">
        <v>26</v>
      </c>
      <c r="D89" s="1">
        <v>1.68</v>
      </c>
      <c r="E89">
        <v>82</v>
      </c>
      <c r="F89">
        <v>29.05</v>
      </c>
      <c r="G89">
        <v>2</v>
      </c>
      <c r="H89">
        <v>13</v>
      </c>
      <c r="I89">
        <v>19</v>
      </c>
      <c r="J89">
        <v>1</v>
      </c>
      <c r="K89">
        <v>2</v>
      </c>
      <c r="L89">
        <v>3</v>
      </c>
      <c r="M89" s="1">
        <v>25.2</v>
      </c>
      <c r="O89" s="1">
        <v>24</v>
      </c>
      <c r="P89" s="1">
        <v>-1.2</v>
      </c>
      <c r="Q89" s="1">
        <v>26.82</v>
      </c>
      <c r="R89" s="1">
        <v>1.62</v>
      </c>
      <c r="S89" s="1">
        <v>23</v>
      </c>
      <c r="T89">
        <v>0</v>
      </c>
      <c r="U89">
        <v>0</v>
      </c>
      <c r="V89">
        <v>0</v>
      </c>
      <c r="W89">
        <v>7</v>
      </c>
      <c r="X89">
        <v>1</v>
      </c>
      <c r="Y89">
        <v>20</v>
      </c>
      <c r="Z89">
        <v>20</v>
      </c>
      <c r="AA89">
        <v>2</v>
      </c>
      <c r="AB89">
        <v>2</v>
      </c>
      <c r="AC89">
        <v>12</v>
      </c>
      <c r="AD89">
        <v>2</v>
      </c>
      <c r="AE89">
        <v>1</v>
      </c>
      <c r="AF89">
        <v>1</v>
      </c>
      <c r="AG89">
        <v>0</v>
      </c>
      <c r="AH89">
        <v>0</v>
      </c>
      <c r="AI89">
        <v>1</v>
      </c>
      <c r="AJ89">
        <v>0</v>
      </c>
      <c r="AK89">
        <v>2</v>
      </c>
      <c r="AL89">
        <v>5</v>
      </c>
      <c r="AM89">
        <v>1</v>
      </c>
      <c r="AN89">
        <v>8</v>
      </c>
      <c r="AO89">
        <v>3</v>
      </c>
      <c r="AP89">
        <v>1</v>
      </c>
      <c r="AQ89">
        <v>12</v>
      </c>
      <c r="AR89">
        <v>0</v>
      </c>
      <c r="AS89">
        <v>0</v>
      </c>
      <c r="AT89">
        <v>4</v>
      </c>
      <c r="AU89">
        <v>1</v>
      </c>
      <c r="AV89">
        <v>28</v>
      </c>
      <c r="AW89">
        <v>24</v>
      </c>
      <c r="AX89">
        <v>2</v>
      </c>
      <c r="AY89">
        <v>2</v>
      </c>
      <c r="AZ89">
        <v>3</v>
      </c>
      <c r="BA89">
        <v>1</v>
      </c>
      <c r="BB89">
        <v>1</v>
      </c>
      <c r="BC89">
        <v>2</v>
      </c>
      <c r="BD89">
        <v>0</v>
      </c>
      <c r="BE89">
        <v>0</v>
      </c>
      <c r="BF89">
        <v>1</v>
      </c>
      <c r="BG89">
        <v>3</v>
      </c>
      <c r="BH89">
        <v>2</v>
      </c>
      <c r="BI89">
        <v>9</v>
      </c>
      <c r="BJ89">
        <v>2</v>
      </c>
      <c r="BK89">
        <v>1</v>
      </c>
      <c r="BL89">
        <v>1</v>
      </c>
      <c r="BM89">
        <v>1</v>
      </c>
      <c r="BN89">
        <v>3</v>
      </c>
      <c r="BO89">
        <v>0</v>
      </c>
      <c r="BP89">
        <v>3</v>
      </c>
      <c r="BQ89">
        <v>2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4</v>
      </c>
      <c r="CB89">
        <v>1</v>
      </c>
      <c r="CC89">
        <v>1</v>
      </c>
      <c r="CD89">
        <v>6</v>
      </c>
      <c r="CE89">
        <v>2</v>
      </c>
      <c r="CF89">
        <v>2</v>
      </c>
      <c r="CG89">
        <v>11</v>
      </c>
      <c r="CH89">
        <v>12</v>
      </c>
      <c r="CI89">
        <v>15</v>
      </c>
      <c r="CJ89">
        <v>22</v>
      </c>
      <c r="CK89">
        <v>15</v>
      </c>
      <c r="CL89">
        <v>10</v>
      </c>
      <c r="CM89">
        <v>15</v>
      </c>
      <c r="CN89">
        <v>12</v>
      </c>
      <c r="CO89">
        <v>22</v>
      </c>
      <c r="CP89" s="26">
        <v>16</v>
      </c>
      <c r="CQ89" s="20">
        <v>7</v>
      </c>
      <c r="CR89" s="24">
        <v>26.821428571428573</v>
      </c>
      <c r="CS89" s="24">
        <v>27.357142857142858</v>
      </c>
      <c r="CT89" s="24">
        <v>11.607142857142858</v>
      </c>
      <c r="CU89" s="24">
        <v>527.14285714285711</v>
      </c>
      <c r="CV89" s="24">
        <v>475</v>
      </c>
      <c r="CW89" s="24">
        <v>32.142857142857146</v>
      </c>
      <c r="CX89" s="24">
        <v>90.789244172702823</v>
      </c>
      <c r="CY89" s="25">
        <v>20</v>
      </c>
      <c r="CZ89" s="20">
        <v>7</v>
      </c>
      <c r="DA89" s="24">
        <v>26.821428571428573</v>
      </c>
      <c r="DB89" s="24">
        <v>27.114285714285717</v>
      </c>
      <c r="DC89" s="24">
        <v>11.150000000000002</v>
      </c>
      <c r="DD89" s="24">
        <v>11.464285714285714</v>
      </c>
      <c r="DE89" s="24">
        <v>518.57142857142856</v>
      </c>
      <c r="DF89" s="24">
        <v>436.57142857142856</v>
      </c>
      <c r="DG89" s="24">
        <v>17.571428571428573</v>
      </c>
      <c r="DH89" s="24">
        <v>84.454285714285717</v>
      </c>
      <c r="DI89" s="24">
        <v>45.571428571428569</v>
      </c>
      <c r="DJ89" s="24">
        <v>89.256721919537057</v>
      </c>
      <c r="DK89" s="24">
        <v>90.610244097639068</v>
      </c>
      <c r="DL89" s="25">
        <v>84.974932280604548</v>
      </c>
      <c r="DM89" s="20">
        <v>20</v>
      </c>
      <c r="DN89" s="24">
        <v>24.241666666666667</v>
      </c>
      <c r="DO89" s="24">
        <v>24.870833333333334</v>
      </c>
      <c r="DP89" s="24">
        <v>9.0208333333333339</v>
      </c>
      <c r="DQ89" s="24">
        <v>526.75</v>
      </c>
      <c r="DR89" s="24">
        <v>470.25</v>
      </c>
      <c r="DS89" s="24">
        <v>37.75</v>
      </c>
      <c r="DT89" s="24">
        <v>88.814115178800606</v>
      </c>
      <c r="DU89" s="25">
        <v>18.75</v>
      </c>
      <c r="DV89" s="20">
        <v>20</v>
      </c>
      <c r="DW89" s="24">
        <v>24.241666666666667</v>
      </c>
      <c r="DX89" s="24">
        <v>24.585000000000001</v>
      </c>
      <c r="DY89" s="24">
        <v>8.6891666666666669</v>
      </c>
      <c r="DZ89" s="24">
        <v>9.1208333333333336</v>
      </c>
      <c r="EA89" s="24">
        <v>532.75</v>
      </c>
      <c r="EB89" s="24">
        <v>437.25</v>
      </c>
      <c r="EC89" s="24">
        <v>437.25</v>
      </c>
      <c r="ED89" s="24">
        <v>81.861000000000004</v>
      </c>
      <c r="EE89" s="24">
        <v>49</v>
      </c>
      <c r="EF89" s="24">
        <v>84.339314107915357</v>
      </c>
      <c r="EG89" s="24">
        <v>90.942382547972457</v>
      </c>
      <c r="EH89" s="25">
        <v>82.055325899125691</v>
      </c>
      <c r="EI89" s="20">
        <v>19</v>
      </c>
      <c r="EJ89" s="24">
        <v>24.201754385964911</v>
      </c>
      <c r="EK89" s="24">
        <v>24.855263157894736</v>
      </c>
      <c r="EL89" s="24">
        <v>9.0219298245614041</v>
      </c>
      <c r="EM89" s="24">
        <v>529.21052631578948</v>
      </c>
      <c r="EN89" s="24">
        <v>470.78947368421052</v>
      </c>
      <c r="EO89" s="24">
        <v>39.210526315789473</v>
      </c>
      <c r="EP89" s="24">
        <v>88.444682644351516</v>
      </c>
      <c r="EQ89" s="25">
        <v>19.210526315789473</v>
      </c>
      <c r="ER89" s="20">
        <v>19</v>
      </c>
      <c r="ES89" s="24">
        <v>24.201754385964911</v>
      </c>
      <c r="ET89" s="24">
        <v>24.563157894736843</v>
      </c>
      <c r="EU89" s="24">
        <v>8.6771929824561411</v>
      </c>
      <c r="EV89" s="24">
        <v>9.1271929824561422</v>
      </c>
      <c r="EW89" s="24">
        <v>535.52631578947364</v>
      </c>
      <c r="EX89" s="24">
        <v>437.57894736842104</v>
      </c>
      <c r="EY89" s="24">
        <v>21.684210526315791</v>
      </c>
      <c r="EZ89" s="24">
        <v>81.443684210526314</v>
      </c>
      <c r="FA89" s="24">
        <v>49.263157894736842</v>
      </c>
      <c r="FB89" s="24">
        <v>83.844014850437219</v>
      </c>
      <c r="FC89" s="24">
        <v>90.86040268207627</v>
      </c>
      <c r="FD89" s="24">
        <v>81.900343051711261</v>
      </c>
    </row>
    <row r="90" spans="1:160" x14ac:dyDescent="0.25">
      <c r="A90">
        <v>6020</v>
      </c>
      <c r="B90">
        <v>1</v>
      </c>
      <c r="C90">
        <v>53</v>
      </c>
      <c r="D90" s="1">
        <v>1.88</v>
      </c>
      <c r="E90">
        <v>92</v>
      </c>
      <c r="F90">
        <v>26.03</v>
      </c>
      <c r="G90">
        <v>2</v>
      </c>
      <c r="H90">
        <v>13</v>
      </c>
      <c r="I90">
        <v>22</v>
      </c>
      <c r="J90">
        <v>1</v>
      </c>
      <c r="K90">
        <v>2</v>
      </c>
      <c r="L90">
        <v>1</v>
      </c>
      <c r="M90" s="1">
        <v>24.73</v>
      </c>
      <c r="O90" s="1">
        <v>22.5</v>
      </c>
      <c r="P90" s="1">
        <v>-2.23</v>
      </c>
      <c r="Q90" s="1">
        <v>25.13</v>
      </c>
      <c r="R90" s="1">
        <v>0.4</v>
      </c>
      <c r="S90" s="1">
        <v>21.5</v>
      </c>
      <c r="T90">
        <v>1</v>
      </c>
      <c r="U90">
        <v>0</v>
      </c>
      <c r="V90">
        <v>0</v>
      </c>
      <c r="W90">
        <v>5</v>
      </c>
      <c r="X90">
        <v>1</v>
      </c>
      <c r="Y90">
        <v>0</v>
      </c>
      <c r="Z90">
        <v>2</v>
      </c>
      <c r="AA90">
        <v>1</v>
      </c>
      <c r="AB90">
        <v>1</v>
      </c>
      <c r="AC90">
        <v>12</v>
      </c>
      <c r="AD90">
        <v>2</v>
      </c>
      <c r="AE90">
        <v>1</v>
      </c>
      <c r="AF90">
        <v>1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3</v>
      </c>
      <c r="AM90">
        <v>1</v>
      </c>
      <c r="AN90">
        <v>5</v>
      </c>
      <c r="AO90">
        <v>7</v>
      </c>
      <c r="AP90">
        <v>4</v>
      </c>
      <c r="AQ90">
        <v>16</v>
      </c>
      <c r="AR90">
        <v>0</v>
      </c>
      <c r="AS90">
        <v>3</v>
      </c>
      <c r="AT90">
        <v>3</v>
      </c>
      <c r="AU90">
        <v>1</v>
      </c>
      <c r="AV90">
        <v>0</v>
      </c>
      <c r="AW90">
        <v>0</v>
      </c>
      <c r="AX90">
        <v>1</v>
      </c>
      <c r="AY90">
        <v>1</v>
      </c>
      <c r="AZ90">
        <v>7</v>
      </c>
      <c r="BA90">
        <v>1</v>
      </c>
      <c r="BB90">
        <v>1</v>
      </c>
      <c r="BC90">
        <v>2</v>
      </c>
      <c r="BD90">
        <v>1</v>
      </c>
      <c r="BE90">
        <v>0</v>
      </c>
      <c r="BF90">
        <v>1</v>
      </c>
      <c r="BG90">
        <v>0</v>
      </c>
      <c r="BH90">
        <v>0</v>
      </c>
      <c r="BI90">
        <v>5</v>
      </c>
      <c r="BJ90">
        <v>1</v>
      </c>
      <c r="BK90">
        <v>1</v>
      </c>
      <c r="BL90">
        <v>1</v>
      </c>
      <c r="BM90">
        <v>1</v>
      </c>
      <c r="BN90">
        <v>3</v>
      </c>
      <c r="BO90">
        <v>0</v>
      </c>
      <c r="BP90">
        <v>0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3</v>
      </c>
      <c r="BX90">
        <v>2</v>
      </c>
      <c r="BY90">
        <v>1</v>
      </c>
      <c r="BZ90">
        <v>2</v>
      </c>
      <c r="CA90">
        <v>2</v>
      </c>
      <c r="CB90">
        <v>1</v>
      </c>
      <c r="CC90">
        <v>9</v>
      </c>
      <c r="CD90">
        <v>2</v>
      </c>
      <c r="CE90">
        <v>1</v>
      </c>
      <c r="CF90">
        <v>2</v>
      </c>
      <c r="CG90">
        <v>14</v>
      </c>
      <c r="CH90">
        <v>19</v>
      </c>
      <c r="CI90">
        <v>14.5</v>
      </c>
      <c r="CJ90">
        <v>19</v>
      </c>
      <c r="CK90">
        <v>19</v>
      </c>
      <c r="CL90">
        <v>9</v>
      </c>
      <c r="CM90">
        <v>13</v>
      </c>
      <c r="CN90">
        <v>11.5</v>
      </c>
      <c r="CO90">
        <v>12</v>
      </c>
      <c r="CP90" s="26">
        <v>12</v>
      </c>
      <c r="CQ90" s="20">
        <v>5</v>
      </c>
      <c r="CR90" s="24">
        <v>25.333333333333332</v>
      </c>
      <c r="CS90" s="24">
        <v>25.616666666666667</v>
      </c>
      <c r="CT90" s="24">
        <v>9.6999999999999993</v>
      </c>
      <c r="CU90" s="24">
        <v>502</v>
      </c>
      <c r="CV90" s="24">
        <v>476</v>
      </c>
      <c r="CW90" s="24">
        <v>17</v>
      </c>
      <c r="CX90" s="24">
        <v>95.07785156381982</v>
      </c>
      <c r="CY90" s="25">
        <v>9</v>
      </c>
      <c r="CZ90" s="20">
        <v>5</v>
      </c>
      <c r="DA90" s="24">
        <v>25.133333333333333</v>
      </c>
      <c r="DB90" s="24">
        <v>25.486666666666668</v>
      </c>
      <c r="DC90" s="24">
        <v>9.2466666666666661</v>
      </c>
      <c r="DD90" s="24">
        <v>9.5</v>
      </c>
      <c r="DE90" s="24">
        <v>502</v>
      </c>
      <c r="DF90" s="24">
        <v>427.4</v>
      </c>
      <c r="DG90" s="24">
        <v>21.2</v>
      </c>
      <c r="DH90" s="24">
        <v>85.415999999999997</v>
      </c>
      <c r="DI90" s="24">
        <v>38.200000000000003</v>
      </c>
      <c r="DJ90" s="24">
        <v>83.397455508242274</v>
      </c>
      <c r="DK90" s="24">
        <v>94.052331402256556</v>
      </c>
      <c r="DL90" s="25">
        <v>85.462581033589572</v>
      </c>
      <c r="DM90" s="20">
        <v>16</v>
      </c>
      <c r="DN90" s="24">
        <v>22.9</v>
      </c>
      <c r="DO90" s="24">
        <v>23.322222222222219</v>
      </c>
      <c r="DP90" s="24">
        <v>7.7077777777777783</v>
      </c>
      <c r="DQ90" s="24">
        <v>528.4666666666667</v>
      </c>
      <c r="DR90" s="24">
        <v>480.06666666666666</v>
      </c>
      <c r="DS90" s="24">
        <v>25.333333333333332</v>
      </c>
      <c r="DT90" s="24">
        <v>90.582680362063186</v>
      </c>
      <c r="DU90" s="25">
        <v>23.066666666666666</v>
      </c>
      <c r="DV90" s="20">
        <v>16</v>
      </c>
      <c r="DW90" s="24">
        <v>23.0625</v>
      </c>
      <c r="DX90" s="24">
        <v>23.409374999999997</v>
      </c>
      <c r="DY90" s="24">
        <v>7.7499999999999991</v>
      </c>
      <c r="DZ90" s="24">
        <v>8.3041666666666671</v>
      </c>
      <c r="EA90" s="24">
        <v>554.5</v>
      </c>
      <c r="EB90" s="24">
        <v>428.75</v>
      </c>
      <c r="EC90" s="24">
        <v>428.75</v>
      </c>
      <c r="ED90" s="24">
        <v>77.157499999999999</v>
      </c>
      <c r="EE90" s="24">
        <v>71.6875</v>
      </c>
      <c r="EF90" s="24">
        <v>81.443880874376816</v>
      </c>
      <c r="EG90" s="24">
        <v>83.801047525659314</v>
      </c>
      <c r="EH90" s="25">
        <v>77.536633442663543</v>
      </c>
      <c r="EI90" s="20">
        <v>14</v>
      </c>
      <c r="EJ90" s="24">
        <v>22.821428571428573</v>
      </c>
      <c r="EK90" s="24">
        <v>23.238095238095237</v>
      </c>
      <c r="EL90" s="24">
        <v>7.5797619047619049</v>
      </c>
      <c r="EM90" s="24">
        <v>525.5</v>
      </c>
      <c r="EN90" s="24">
        <v>476.5</v>
      </c>
      <c r="EO90" s="24">
        <v>25</v>
      </c>
      <c r="EP90" s="24">
        <v>90.411267806471201</v>
      </c>
      <c r="EQ90" s="25">
        <v>24</v>
      </c>
      <c r="ER90" s="20">
        <v>14</v>
      </c>
      <c r="ES90" s="24">
        <v>22.857142857142858</v>
      </c>
      <c r="ET90" s="24">
        <v>23.227380952380951</v>
      </c>
      <c r="EU90" s="24">
        <v>7.5892857142857135</v>
      </c>
      <c r="EV90" s="24">
        <v>8.0619047619047617</v>
      </c>
      <c r="EW90" s="24">
        <v>552.28571428571433</v>
      </c>
      <c r="EX90" s="24">
        <v>431</v>
      </c>
      <c r="EY90" s="24">
        <v>22.214285714285715</v>
      </c>
      <c r="EZ90" s="24">
        <v>77.652142857142863</v>
      </c>
      <c r="FA90" s="24">
        <v>70.714285714285708</v>
      </c>
      <c r="FB90" s="24">
        <v>80.389280005498975</v>
      </c>
      <c r="FC90" s="24">
        <v>84.617346240505057</v>
      </c>
      <c r="FD90" s="24">
        <v>78.035655611491251</v>
      </c>
    </row>
    <row r="91" spans="1:160" x14ac:dyDescent="0.25">
      <c r="A91">
        <v>6032</v>
      </c>
      <c r="B91">
        <v>1</v>
      </c>
      <c r="C91">
        <v>29</v>
      </c>
      <c r="D91" s="1">
        <v>1.72</v>
      </c>
      <c r="E91">
        <v>90</v>
      </c>
      <c r="F91">
        <v>30.42</v>
      </c>
      <c r="G91">
        <v>1</v>
      </c>
      <c r="H91">
        <v>14</v>
      </c>
      <c r="I91">
        <v>26</v>
      </c>
      <c r="J91">
        <v>2</v>
      </c>
      <c r="K91">
        <v>2</v>
      </c>
      <c r="L91">
        <v>3</v>
      </c>
      <c r="M91" s="1">
        <v>22.15</v>
      </c>
      <c r="O91" s="1">
        <v>22.5</v>
      </c>
      <c r="P91" s="1">
        <v>0.35</v>
      </c>
      <c r="Q91" s="1">
        <v>25.06</v>
      </c>
      <c r="R91" s="1">
        <v>2.91</v>
      </c>
      <c r="S91" s="1">
        <v>21.5</v>
      </c>
      <c r="T91">
        <v>2</v>
      </c>
      <c r="U91">
        <v>1</v>
      </c>
      <c r="V91">
        <v>0</v>
      </c>
      <c r="W91">
        <v>3</v>
      </c>
      <c r="X91">
        <v>1</v>
      </c>
      <c r="Y91">
        <v>7</v>
      </c>
      <c r="Z91">
        <v>3</v>
      </c>
      <c r="AA91">
        <v>1</v>
      </c>
      <c r="AB91">
        <v>1</v>
      </c>
      <c r="AC91">
        <v>15</v>
      </c>
      <c r="AD91">
        <v>3</v>
      </c>
      <c r="AE91">
        <v>3</v>
      </c>
      <c r="AF91">
        <v>2</v>
      </c>
      <c r="AG91">
        <v>2</v>
      </c>
      <c r="AH91">
        <v>1</v>
      </c>
      <c r="AI91">
        <v>0</v>
      </c>
      <c r="AJ91">
        <v>0</v>
      </c>
      <c r="AK91">
        <v>0</v>
      </c>
      <c r="AL91">
        <v>8</v>
      </c>
      <c r="AM91">
        <v>2</v>
      </c>
      <c r="AN91">
        <v>3</v>
      </c>
      <c r="AO91">
        <v>5</v>
      </c>
      <c r="AP91">
        <v>9</v>
      </c>
      <c r="AQ91">
        <v>17</v>
      </c>
      <c r="AR91">
        <v>1</v>
      </c>
      <c r="AS91">
        <v>2</v>
      </c>
      <c r="AT91">
        <v>3</v>
      </c>
      <c r="AU91">
        <v>1</v>
      </c>
      <c r="AV91">
        <v>3</v>
      </c>
      <c r="AW91">
        <v>4</v>
      </c>
      <c r="AX91">
        <v>1</v>
      </c>
      <c r="AY91">
        <v>1</v>
      </c>
      <c r="AZ91">
        <v>9</v>
      </c>
      <c r="BA91">
        <v>2</v>
      </c>
      <c r="BB91">
        <v>1</v>
      </c>
      <c r="BC91">
        <v>2</v>
      </c>
      <c r="BD91">
        <v>1</v>
      </c>
      <c r="BE91">
        <v>1</v>
      </c>
      <c r="BF91">
        <v>1</v>
      </c>
      <c r="BG91">
        <v>3</v>
      </c>
      <c r="BH91">
        <v>1</v>
      </c>
      <c r="BI91">
        <v>10</v>
      </c>
      <c r="BJ91">
        <v>2</v>
      </c>
      <c r="BK91">
        <v>7</v>
      </c>
      <c r="BL91">
        <v>4</v>
      </c>
      <c r="BM91">
        <v>9</v>
      </c>
      <c r="BN91">
        <v>20</v>
      </c>
      <c r="BO91">
        <v>1</v>
      </c>
      <c r="BP91">
        <v>0</v>
      </c>
      <c r="BQ91">
        <v>4</v>
      </c>
      <c r="BR91">
        <v>2</v>
      </c>
      <c r="BS91">
        <v>2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4</v>
      </c>
      <c r="CB91">
        <v>1</v>
      </c>
      <c r="CC91">
        <v>1</v>
      </c>
      <c r="CD91">
        <v>5</v>
      </c>
      <c r="CE91">
        <v>2</v>
      </c>
      <c r="CF91">
        <v>1</v>
      </c>
      <c r="CG91">
        <v>29</v>
      </c>
      <c r="CH91">
        <v>15</v>
      </c>
      <c r="CI91">
        <v>18</v>
      </c>
      <c r="CJ91">
        <v>14</v>
      </c>
      <c r="CK91">
        <v>20</v>
      </c>
      <c r="CL91">
        <v>22</v>
      </c>
      <c r="CM91">
        <v>11</v>
      </c>
      <c r="CN91">
        <v>13</v>
      </c>
      <c r="CO91">
        <v>12</v>
      </c>
      <c r="CP91" s="26">
        <v>14</v>
      </c>
      <c r="CQ91" s="20">
        <v>7</v>
      </c>
      <c r="CR91" s="24">
        <v>25.059523809523814</v>
      </c>
      <c r="CS91" s="24">
        <v>25.809523809523814</v>
      </c>
      <c r="CT91" s="24">
        <v>8.7738095238095237</v>
      </c>
      <c r="CU91" s="24">
        <v>462.85714285714283</v>
      </c>
      <c r="CV91" s="24">
        <v>416.42857142857144</v>
      </c>
      <c r="CW91" s="24">
        <v>45</v>
      </c>
      <c r="CX91" s="24">
        <v>89.051106104379627</v>
      </c>
      <c r="CY91" s="25">
        <v>1.4285714285714286</v>
      </c>
      <c r="CZ91" s="20">
        <v>7</v>
      </c>
      <c r="DA91" s="24">
        <v>25.059523809523814</v>
      </c>
      <c r="DB91" s="24">
        <v>25.390476190476193</v>
      </c>
      <c r="DC91" s="24">
        <v>8.3047619047619055</v>
      </c>
      <c r="DD91" s="24">
        <v>8.6309523809523814</v>
      </c>
      <c r="DE91" s="24">
        <v>454.28571428571428</v>
      </c>
      <c r="DF91" s="24">
        <v>346.28571428571428</v>
      </c>
      <c r="DG91" s="24">
        <v>19.857142857142858</v>
      </c>
      <c r="DH91" s="24">
        <v>75.765714285714282</v>
      </c>
      <c r="DI91" s="24">
        <v>68.571428571428569</v>
      </c>
      <c r="DJ91" s="24">
        <v>74.093225292731077</v>
      </c>
      <c r="DK91" s="24">
        <v>84.787619942914404</v>
      </c>
      <c r="DL91" s="25">
        <v>76.568930340688667</v>
      </c>
      <c r="DM91" s="20">
        <v>20</v>
      </c>
      <c r="DN91" s="24">
        <v>23.024999999999999</v>
      </c>
      <c r="DO91" s="24">
        <v>23.758333333333333</v>
      </c>
      <c r="DP91" s="24">
        <v>7.6250000000000018</v>
      </c>
      <c r="DQ91" s="24">
        <v>516</v>
      </c>
      <c r="DR91" s="24">
        <v>468</v>
      </c>
      <c r="DS91" s="24">
        <v>44</v>
      </c>
      <c r="DT91" s="24">
        <v>90.667614244583916</v>
      </c>
      <c r="DU91" s="25">
        <v>4</v>
      </c>
      <c r="DV91" s="20">
        <v>20</v>
      </c>
      <c r="DW91" s="24">
        <v>23.096491228070178</v>
      </c>
      <c r="DX91" s="24">
        <v>24.062280701754393</v>
      </c>
      <c r="DY91" s="24">
        <v>7.0868421052631581</v>
      </c>
      <c r="DZ91" s="24">
        <v>7.578947368421054</v>
      </c>
      <c r="EA91" s="24">
        <v>508.94736842105266</v>
      </c>
      <c r="EB91" s="24">
        <v>356.42105263157896</v>
      </c>
      <c r="EC91" s="24">
        <v>356.42105263157896</v>
      </c>
      <c r="ED91" s="24">
        <v>70.194210526315786</v>
      </c>
      <c r="EE91" s="24">
        <v>65.05263157894737</v>
      </c>
      <c r="EF91" s="24">
        <v>63.627383179869746</v>
      </c>
      <c r="EG91" s="24">
        <v>84.462628047729851</v>
      </c>
      <c r="EH91" s="25">
        <v>77.683878673565516</v>
      </c>
      <c r="EI91" s="20">
        <v>15</v>
      </c>
      <c r="EJ91" s="24">
        <v>22.733333333333334</v>
      </c>
      <c r="EK91" s="24">
        <v>23.344444444444445</v>
      </c>
      <c r="EL91" s="24">
        <v>7.6611111111111114</v>
      </c>
      <c r="EM91" s="24">
        <v>535.66666666666663</v>
      </c>
      <c r="EN91" s="24">
        <v>493.66666666666669</v>
      </c>
      <c r="EO91" s="24">
        <v>36.666666666666664</v>
      </c>
      <c r="EP91" s="24">
        <v>92.234134629734044</v>
      </c>
      <c r="EQ91" s="25">
        <v>5.333333333333333</v>
      </c>
      <c r="ER91" s="20">
        <v>14</v>
      </c>
      <c r="ES91" s="24">
        <v>22.785714285714285</v>
      </c>
      <c r="ET91" s="24">
        <v>23.729761904761904</v>
      </c>
      <c r="EU91" s="24">
        <v>7.0404761904761903</v>
      </c>
      <c r="EV91" s="24">
        <v>7.5773809523809534</v>
      </c>
      <c r="EW91" s="24">
        <v>527.5</v>
      </c>
      <c r="EX91" s="24">
        <v>370.78571428571428</v>
      </c>
      <c r="EY91" s="24">
        <v>56.642857142857146</v>
      </c>
      <c r="EZ91" s="24">
        <v>70.440714285714279</v>
      </c>
      <c r="FA91" s="24">
        <v>67.857142857142861</v>
      </c>
      <c r="FB91" s="24">
        <v>65.619350203575806</v>
      </c>
      <c r="FC91" s="24">
        <v>84.942694975326248</v>
      </c>
      <c r="FD91" s="24">
        <v>76.180248232048044</v>
      </c>
    </row>
    <row r="92" spans="1:160" x14ac:dyDescent="0.25">
      <c r="A92">
        <v>6041</v>
      </c>
      <c r="B92">
        <v>2</v>
      </c>
      <c r="C92">
        <v>38</v>
      </c>
      <c r="D92" s="1">
        <v>1.6</v>
      </c>
      <c r="E92">
        <v>60</v>
      </c>
      <c r="F92">
        <v>23.44</v>
      </c>
      <c r="G92">
        <v>1</v>
      </c>
      <c r="H92">
        <v>12</v>
      </c>
      <c r="I92">
        <v>24</v>
      </c>
      <c r="J92">
        <v>2</v>
      </c>
      <c r="K92">
        <v>1</v>
      </c>
      <c r="L92">
        <v>3</v>
      </c>
      <c r="M92" s="1">
        <v>22.17</v>
      </c>
      <c r="O92" s="1">
        <v>22</v>
      </c>
      <c r="P92" s="1">
        <v>-0.17</v>
      </c>
      <c r="Q92" s="1">
        <v>25.01</v>
      </c>
      <c r="R92" s="1">
        <v>2.84</v>
      </c>
      <c r="S92" s="1">
        <v>21</v>
      </c>
      <c r="T92">
        <v>0</v>
      </c>
      <c r="U92">
        <v>2</v>
      </c>
      <c r="V92">
        <v>0</v>
      </c>
      <c r="W92">
        <v>4</v>
      </c>
      <c r="X92">
        <v>1</v>
      </c>
      <c r="Y92">
        <v>2</v>
      </c>
      <c r="Z92">
        <v>1</v>
      </c>
      <c r="AA92">
        <v>1</v>
      </c>
      <c r="AB92">
        <v>1</v>
      </c>
      <c r="AC92">
        <v>9</v>
      </c>
      <c r="AD92">
        <v>2</v>
      </c>
      <c r="AE92">
        <v>2</v>
      </c>
      <c r="AF92">
        <v>3</v>
      </c>
      <c r="AG92">
        <v>1</v>
      </c>
      <c r="AH92">
        <v>0</v>
      </c>
      <c r="AI92">
        <v>1</v>
      </c>
      <c r="AJ92">
        <v>0</v>
      </c>
      <c r="AK92">
        <v>1</v>
      </c>
      <c r="AL92">
        <v>8</v>
      </c>
      <c r="AM92">
        <v>2</v>
      </c>
      <c r="AN92">
        <v>4</v>
      </c>
      <c r="AO92">
        <v>2</v>
      </c>
      <c r="AP92">
        <v>5</v>
      </c>
      <c r="AQ92">
        <v>11</v>
      </c>
      <c r="AR92">
        <v>0</v>
      </c>
      <c r="AS92">
        <v>3</v>
      </c>
      <c r="AT92">
        <v>3</v>
      </c>
      <c r="AU92">
        <v>1</v>
      </c>
      <c r="AV92">
        <v>6</v>
      </c>
      <c r="AW92">
        <v>8</v>
      </c>
      <c r="AX92">
        <v>1</v>
      </c>
      <c r="AY92">
        <v>1</v>
      </c>
      <c r="AZ92">
        <v>9</v>
      </c>
      <c r="BA92">
        <v>2</v>
      </c>
      <c r="BB92">
        <v>1</v>
      </c>
      <c r="BC92">
        <v>3</v>
      </c>
      <c r="BD92">
        <v>1</v>
      </c>
      <c r="BE92">
        <v>2</v>
      </c>
      <c r="BF92">
        <v>2</v>
      </c>
      <c r="BG92">
        <v>0</v>
      </c>
      <c r="BH92">
        <v>1</v>
      </c>
      <c r="BI92">
        <v>10</v>
      </c>
      <c r="BJ92">
        <v>2</v>
      </c>
      <c r="BK92">
        <v>3</v>
      </c>
      <c r="BL92">
        <v>4</v>
      </c>
      <c r="BM92">
        <v>6</v>
      </c>
      <c r="BN92">
        <v>13</v>
      </c>
      <c r="BO92">
        <v>12</v>
      </c>
      <c r="BP92">
        <v>12</v>
      </c>
      <c r="BQ92">
        <v>3</v>
      </c>
      <c r="BR92">
        <v>2</v>
      </c>
      <c r="BS92">
        <v>1</v>
      </c>
      <c r="BT92">
        <v>1</v>
      </c>
      <c r="BU92">
        <v>1</v>
      </c>
      <c r="BV92">
        <v>1</v>
      </c>
      <c r="BW92">
        <v>3</v>
      </c>
      <c r="BX92">
        <v>2</v>
      </c>
      <c r="BY92">
        <v>1</v>
      </c>
      <c r="BZ92">
        <v>2</v>
      </c>
      <c r="CA92">
        <v>3</v>
      </c>
      <c r="CB92">
        <v>2</v>
      </c>
      <c r="CC92">
        <v>6</v>
      </c>
      <c r="CD92">
        <v>5</v>
      </c>
      <c r="CE92">
        <v>2</v>
      </c>
      <c r="CF92">
        <v>1</v>
      </c>
      <c r="CG92">
        <v>24</v>
      </c>
      <c r="CH92">
        <v>22</v>
      </c>
      <c r="CI92">
        <v>18</v>
      </c>
      <c r="CJ92">
        <v>31</v>
      </c>
      <c r="CK92">
        <v>19</v>
      </c>
      <c r="CL92">
        <v>22</v>
      </c>
      <c r="CM92">
        <v>27</v>
      </c>
      <c r="CN92">
        <v>16</v>
      </c>
      <c r="CO92">
        <v>19</v>
      </c>
      <c r="CP92" s="26">
        <v>14</v>
      </c>
      <c r="CQ92" s="20">
        <v>7</v>
      </c>
      <c r="CR92" s="24">
        <v>24.988095238095241</v>
      </c>
      <c r="CS92" s="24">
        <v>25.488095238095241</v>
      </c>
      <c r="CT92" s="24">
        <v>8.8452380952380967</v>
      </c>
      <c r="CU92" s="24">
        <v>471.42857142857144</v>
      </c>
      <c r="CV92" s="24">
        <v>409.28571428571428</v>
      </c>
      <c r="CW92" s="24">
        <v>30</v>
      </c>
      <c r="CX92" s="24">
        <v>86.714517171038921</v>
      </c>
      <c r="CY92" s="25">
        <v>32.142857142857146</v>
      </c>
      <c r="CZ92" s="20">
        <v>7</v>
      </c>
      <c r="DA92" s="24">
        <v>25.011904761904763</v>
      </c>
      <c r="DB92" s="24">
        <v>25.033333333333335</v>
      </c>
      <c r="DC92" s="24">
        <v>8.6928571428571413</v>
      </c>
      <c r="DD92" s="24">
        <v>8.8452380952380967</v>
      </c>
      <c r="DE92" s="24">
        <v>470</v>
      </c>
      <c r="DF92" s="24">
        <v>429.57142857142856</v>
      </c>
      <c r="DG92" s="24">
        <v>1.2857142857142858</v>
      </c>
      <c r="DH92" s="24">
        <v>91.341428571428565</v>
      </c>
      <c r="DI92" s="24">
        <v>30</v>
      </c>
      <c r="DJ92" s="24">
        <v>93.32621700476443</v>
      </c>
      <c r="DK92" s="24">
        <v>94.58421515129244</v>
      </c>
      <c r="DL92" s="25">
        <v>86.851811044561572</v>
      </c>
      <c r="DM92" s="20">
        <v>20</v>
      </c>
      <c r="DN92" s="24">
        <v>22.268333333333338</v>
      </c>
      <c r="DO92" s="24">
        <v>23.168333333333337</v>
      </c>
      <c r="DP92" s="24">
        <v>7.3008333333333324</v>
      </c>
      <c r="DQ92" s="24">
        <v>541.95000000000005</v>
      </c>
      <c r="DR92" s="24">
        <v>437.7</v>
      </c>
      <c r="DS92" s="24">
        <v>54</v>
      </c>
      <c r="DT92" s="24">
        <v>80.965622873443905</v>
      </c>
      <c r="DU92" s="25">
        <v>50.25</v>
      </c>
      <c r="DV92" s="20">
        <v>20</v>
      </c>
      <c r="DW92" s="24">
        <v>21.318333333333335</v>
      </c>
      <c r="DX92" s="24">
        <v>21.444166666666668</v>
      </c>
      <c r="DY92" s="24">
        <v>6.7966666666666669</v>
      </c>
      <c r="DZ92" s="24">
        <v>7.0674999999999999</v>
      </c>
      <c r="EA92" s="24">
        <v>584.95000000000005</v>
      </c>
      <c r="EB92" s="24">
        <v>520.9</v>
      </c>
      <c r="EC92" s="24">
        <v>520.9</v>
      </c>
      <c r="ED92" s="24">
        <v>89.177000000000007</v>
      </c>
      <c r="EE92" s="24">
        <v>40.25</v>
      </c>
      <c r="EF92" s="24">
        <v>90.13833582768919</v>
      </c>
      <c r="EG92" s="24">
        <v>94.128240403172867</v>
      </c>
      <c r="EH92" s="25">
        <v>88.188060969273394</v>
      </c>
      <c r="EI92" s="20">
        <v>19</v>
      </c>
      <c r="EJ92" s="24">
        <v>22.067543859649124</v>
      </c>
      <c r="EK92" s="24">
        <v>22.962280701754391</v>
      </c>
      <c r="EL92" s="24">
        <v>7.3166666666666655</v>
      </c>
      <c r="EM92" s="24">
        <v>554.9473684210526</v>
      </c>
      <c r="EN92" s="24">
        <v>448.36842105263156</v>
      </c>
      <c r="EO92" s="24">
        <v>53.684210526315788</v>
      </c>
      <c r="EP92" s="24">
        <v>81.034286343143449</v>
      </c>
      <c r="EQ92" s="25">
        <v>52.89473684210526</v>
      </c>
      <c r="ER92" s="20">
        <v>12</v>
      </c>
      <c r="ES92" s="24">
        <v>21.829166666666669</v>
      </c>
      <c r="ET92" s="24">
        <v>21.911111111111111</v>
      </c>
      <c r="EU92" s="24">
        <v>6.844444444444445</v>
      </c>
      <c r="EV92" s="24">
        <v>7.1222222222222227</v>
      </c>
      <c r="EW92" s="24">
        <v>557.58333333333337</v>
      </c>
      <c r="EX92" s="24">
        <v>503.75</v>
      </c>
      <c r="EY92" s="24">
        <v>4.916666666666667</v>
      </c>
      <c r="EZ92" s="24">
        <v>90.412500000000009</v>
      </c>
      <c r="FA92" s="24">
        <v>32.25</v>
      </c>
      <c r="FB92" s="24">
        <v>92.68172151243779</v>
      </c>
      <c r="FC92" s="24">
        <v>94.978728039705572</v>
      </c>
      <c r="FD92" s="24">
        <v>88.432462317445797</v>
      </c>
    </row>
    <row r="93" spans="1:160" x14ac:dyDescent="0.25">
      <c r="A93">
        <v>6044</v>
      </c>
      <c r="B93">
        <v>1</v>
      </c>
      <c r="C93">
        <v>28</v>
      </c>
      <c r="D93" s="1">
        <v>1.73</v>
      </c>
      <c r="E93">
        <v>68</v>
      </c>
      <c r="F93">
        <v>22.55</v>
      </c>
      <c r="G93">
        <v>2</v>
      </c>
      <c r="H93">
        <v>19</v>
      </c>
      <c r="I93">
        <v>19</v>
      </c>
      <c r="J93">
        <v>1</v>
      </c>
      <c r="K93">
        <v>3</v>
      </c>
      <c r="L93">
        <v>3</v>
      </c>
      <c r="M93" s="1">
        <v>24.83</v>
      </c>
      <c r="O93" s="1">
        <v>23</v>
      </c>
      <c r="P93" s="1">
        <v>-1.83</v>
      </c>
      <c r="Q93" s="1">
        <v>25.99</v>
      </c>
      <c r="R93" s="1">
        <v>1.1599999999999999</v>
      </c>
      <c r="S93" s="1">
        <v>22</v>
      </c>
      <c r="T93">
        <v>0</v>
      </c>
      <c r="U93">
        <v>2</v>
      </c>
      <c r="V93">
        <v>0</v>
      </c>
      <c r="W93">
        <v>5</v>
      </c>
      <c r="X93">
        <v>1</v>
      </c>
      <c r="Y93">
        <v>13</v>
      </c>
      <c r="Z93">
        <v>18</v>
      </c>
      <c r="AA93">
        <v>2</v>
      </c>
      <c r="AB93">
        <v>1</v>
      </c>
      <c r="AC93">
        <v>24</v>
      </c>
      <c r="AD93">
        <v>4</v>
      </c>
      <c r="AE93">
        <v>3</v>
      </c>
      <c r="AF93">
        <v>2</v>
      </c>
      <c r="AG93">
        <v>2</v>
      </c>
      <c r="AH93">
        <v>1</v>
      </c>
      <c r="AI93">
        <v>2</v>
      </c>
      <c r="AJ93">
        <v>0</v>
      </c>
      <c r="AK93">
        <v>2</v>
      </c>
      <c r="AL93">
        <v>12</v>
      </c>
      <c r="AM93">
        <v>2</v>
      </c>
      <c r="AN93">
        <v>10</v>
      </c>
      <c r="AO93">
        <v>8</v>
      </c>
      <c r="AP93">
        <v>8</v>
      </c>
      <c r="AQ93">
        <v>26</v>
      </c>
      <c r="AR93">
        <v>20</v>
      </c>
      <c r="AS93">
        <v>20</v>
      </c>
      <c r="AT93">
        <v>7</v>
      </c>
      <c r="AU93">
        <v>1</v>
      </c>
      <c r="AV93">
        <v>9</v>
      </c>
      <c r="AW93">
        <v>16</v>
      </c>
      <c r="AX93">
        <v>2</v>
      </c>
      <c r="AY93">
        <v>1</v>
      </c>
      <c r="AZ93">
        <v>27</v>
      </c>
      <c r="BA93">
        <v>4</v>
      </c>
      <c r="BB93">
        <v>3</v>
      </c>
      <c r="BC93">
        <v>3</v>
      </c>
      <c r="BD93">
        <v>1</v>
      </c>
      <c r="BE93">
        <v>3</v>
      </c>
      <c r="BF93">
        <v>2</v>
      </c>
      <c r="BG93">
        <v>0</v>
      </c>
      <c r="BH93">
        <v>2</v>
      </c>
      <c r="BI93">
        <v>14</v>
      </c>
      <c r="BJ93">
        <v>2</v>
      </c>
      <c r="BK93">
        <v>10</v>
      </c>
      <c r="BL93">
        <v>9</v>
      </c>
      <c r="BM93">
        <v>10</v>
      </c>
      <c r="BN93">
        <v>29</v>
      </c>
      <c r="BO93">
        <v>0</v>
      </c>
      <c r="BP93">
        <v>5</v>
      </c>
      <c r="BQ93">
        <v>5</v>
      </c>
      <c r="BR93">
        <v>2</v>
      </c>
      <c r="BS93">
        <v>2</v>
      </c>
      <c r="BT93">
        <v>5</v>
      </c>
      <c r="BU93">
        <v>2</v>
      </c>
      <c r="BV93">
        <v>2</v>
      </c>
      <c r="BW93">
        <v>4</v>
      </c>
      <c r="BX93">
        <v>2</v>
      </c>
      <c r="BY93">
        <v>2</v>
      </c>
      <c r="BZ93">
        <v>2</v>
      </c>
      <c r="CA93">
        <v>1</v>
      </c>
      <c r="CB93">
        <v>1</v>
      </c>
      <c r="CC93">
        <v>13</v>
      </c>
      <c r="CD93">
        <v>2</v>
      </c>
      <c r="CE93">
        <v>1</v>
      </c>
      <c r="CF93">
        <v>2</v>
      </c>
      <c r="CG93">
        <v>28</v>
      </c>
      <c r="CH93">
        <v>39</v>
      </c>
      <c r="CI93">
        <v>39</v>
      </c>
      <c r="CJ93">
        <v>39</v>
      </c>
      <c r="CK93">
        <v>40</v>
      </c>
      <c r="CL93">
        <v>33</v>
      </c>
      <c r="CM93">
        <v>34</v>
      </c>
      <c r="CN93">
        <v>35</v>
      </c>
      <c r="CO93">
        <v>37</v>
      </c>
      <c r="CP93" s="26">
        <v>36</v>
      </c>
      <c r="CQ93" s="20">
        <v>7</v>
      </c>
      <c r="CR93" s="24">
        <v>26.488095238095237</v>
      </c>
      <c r="CS93" s="24">
        <v>26.845238095238098</v>
      </c>
      <c r="CT93" s="24">
        <v>10.083333333333332</v>
      </c>
      <c r="CU93" s="24">
        <v>455.71428571428572</v>
      </c>
      <c r="CV93" s="24">
        <v>372.5</v>
      </c>
      <c r="CW93" s="24">
        <v>21.428571428571427</v>
      </c>
      <c r="CX93" s="24">
        <v>86.279446140975423</v>
      </c>
      <c r="CY93" s="25">
        <v>34.166666666666664</v>
      </c>
      <c r="CZ93" s="20">
        <v>7</v>
      </c>
      <c r="DA93" s="24">
        <v>25.988095238095237</v>
      </c>
      <c r="DB93" s="24">
        <v>26.273809523809526</v>
      </c>
      <c r="DC93" s="24">
        <v>9.742857142857142</v>
      </c>
      <c r="DD93" s="24">
        <v>9.8690476190476186</v>
      </c>
      <c r="DE93" s="24">
        <v>472.85714285714283</v>
      </c>
      <c r="DF93" s="24">
        <v>381.57142857142856</v>
      </c>
      <c r="DG93" s="24">
        <v>17.142857142857142</v>
      </c>
      <c r="DH93" s="24">
        <v>80.414285714285711</v>
      </c>
      <c r="DI93" s="24">
        <v>66.571428571428569</v>
      </c>
      <c r="DJ93" s="24">
        <v>81.195606536264933</v>
      </c>
      <c r="DK93" s="24">
        <v>81.364124694474256</v>
      </c>
      <c r="DL93" s="25">
        <v>83.856026333332991</v>
      </c>
      <c r="DM93" s="20">
        <v>18</v>
      </c>
      <c r="DN93" s="24">
        <v>23.833333333333332</v>
      </c>
      <c r="DO93" s="24">
        <v>24.402777777777775</v>
      </c>
      <c r="DP93" s="24">
        <v>9.3240740740740726</v>
      </c>
      <c r="DQ93" s="24">
        <v>569.44444444444446</v>
      </c>
      <c r="DR93" s="24"/>
      <c r="DS93" s="24">
        <v>34.166666666666664</v>
      </c>
      <c r="DT93" s="24"/>
      <c r="DU93" s="25"/>
      <c r="DV93" s="20">
        <v>18</v>
      </c>
      <c r="DW93" s="24">
        <v>24.75</v>
      </c>
      <c r="DX93" s="24">
        <v>25.599074074074075</v>
      </c>
      <c r="DY93" s="24">
        <v>9.6907407407407433</v>
      </c>
      <c r="DZ93" s="24">
        <v>10.046296296296298</v>
      </c>
      <c r="EA93" s="24">
        <v>557.77777777777783</v>
      </c>
      <c r="EB93" s="24">
        <v>401.88888888888891</v>
      </c>
      <c r="EC93" s="24">
        <v>401.88888888888891</v>
      </c>
      <c r="ED93" s="24">
        <v>71.915555555555557</v>
      </c>
      <c r="EE93" s="24">
        <v>83.611111111111114</v>
      </c>
      <c r="EF93" s="24">
        <v>71.509473788014077</v>
      </c>
      <c r="EG93" s="24">
        <v>83.789934897783439</v>
      </c>
      <c r="EH93" s="25">
        <v>78.619786018526938</v>
      </c>
      <c r="EI93" s="20">
        <v>12</v>
      </c>
      <c r="EJ93" s="24">
        <v>23.5</v>
      </c>
      <c r="EK93" s="24">
        <v>24.006944444444443</v>
      </c>
      <c r="EL93" s="24">
        <v>9.2083333333333339</v>
      </c>
      <c r="EM93" s="24">
        <v>582.5</v>
      </c>
      <c r="EN93" s="24"/>
      <c r="EO93" s="24">
        <v>30.416666666666668</v>
      </c>
      <c r="EP93" s="24"/>
      <c r="EQ93" s="25"/>
      <c r="ER93" s="20">
        <v>10</v>
      </c>
      <c r="ES93" s="24">
        <v>24</v>
      </c>
      <c r="ET93" s="24">
        <v>25.043333333333329</v>
      </c>
      <c r="EU93" s="24">
        <v>9.0166666666666675</v>
      </c>
      <c r="EV93" s="24">
        <v>9.2333333333333343</v>
      </c>
      <c r="EW93" s="24">
        <v>554</v>
      </c>
      <c r="EX93" s="24">
        <v>395</v>
      </c>
      <c r="EY93" s="24">
        <v>62.6</v>
      </c>
      <c r="EZ93" s="24">
        <v>70.628</v>
      </c>
      <c r="FA93" s="24">
        <v>83.4</v>
      </c>
      <c r="FB93" s="24">
        <v>64.552690479286781</v>
      </c>
      <c r="FC93" s="24">
        <v>86.416860082279044</v>
      </c>
      <c r="FD93" s="24">
        <v>81.400463410460489</v>
      </c>
    </row>
    <row r="94" spans="1:160" x14ac:dyDescent="0.25">
      <c r="A94">
        <v>6047</v>
      </c>
      <c r="B94">
        <v>1</v>
      </c>
      <c r="C94">
        <v>19</v>
      </c>
      <c r="D94" s="1">
        <v>1.79</v>
      </c>
      <c r="E94">
        <v>65</v>
      </c>
      <c r="F94">
        <v>20.29</v>
      </c>
      <c r="G94">
        <v>2</v>
      </c>
      <c r="H94">
        <v>18</v>
      </c>
      <c r="I94">
        <v>19</v>
      </c>
      <c r="J94">
        <v>1</v>
      </c>
      <c r="K94">
        <v>2</v>
      </c>
      <c r="L94">
        <v>3</v>
      </c>
      <c r="M94" s="1">
        <v>26.22</v>
      </c>
      <c r="O94" s="1">
        <v>23</v>
      </c>
      <c r="P94" s="1">
        <v>-3.22</v>
      </c>
      <c r="Q94" s="1">
        <v>26.93</v>
      </c>
      <c r="R94" s="1">
        <v>0.71</v>
      </c>
      <c r="S94" s="1">
        <v>22</v>
      </c>
      <c r="T94">
        <v>0</v>
      </c>
      <c r="U94">
        <v>2</v>
      </c>
      <c r="V94">
        <v>0</v>
      </c>
      <c r="W94">
        <v>9</v>
      </c>
      <c r="X94">
        <v>1</v>
      </c>
      <c r="Y94">
        <v>15</v>
      </c>
      <c r="Z94">
        <v>9</v>
      </c>
      <c r="AA94">
        <v>1</v>
      </c>
      <c r="AB94">
        <v>1</v>
      </c>
      <c r="AC94">
        <v>18</v>
      </c>
      <c r="AD94">
        <v>3</v>
      </c>
      <c r="AE94">
        <v>3</v>
      </c>
      <c r="AF94">
        <v>3</v>
      </c>
      <c r="AG94">
        <v>1</v>
      </c>
      <c r="AH94">
        <v>1</v>
      </c>
      <c r="AI94">
        <v>1</v>
      </c>
      <c r="AJ94">
        <v>0</v>
      </c>
      <c r="AK94">
        <v>2</v>
      </c>
      <c r="AL94">
        <v>11</v>
      </c>
      <c r="AM94">
        <v>2</v>
      </c>
      <c r="AN94">
        <v>6</v>
      </c>
      <c r="AO94">
        <v>7</v>
      </c>
      <c r="AP94">
        <v>10</v>
      </c>
      <c r="AQ94">
        <v>23</v>
      </c>
      <c r="AR94">
        <v>10</v>
      </c>
      <c r="AS94">
        <v>10</v>
      </c>
      <c r="AT94">
        <v>9</v>
      </c>
      <c r="AU94">
        <v>1</v>
      </c>
      <c r="AV94">
        <v>13</v>
      </c>
      <c r="AW94">
        <v>5</v>
      </c>
      <c r="AX94">
        <v>1</v>
      </c>
      <c r="AY94">
        <v>1</v>
      </c>
      <c r="AZ94">
        <v>14</v>
      </c>
      <c r="BA94">
        <v>2</v>
      </c>
      <c r="BB94">
        <v>2</v>
      </c>
      <c r="BC94">
        <v>2</v>
      </c>
      <c r="BD94">
        <v>0</v>
      </c>
      <c r="BE94">
        <v>0</v>
      </c>
      <c r="BF94">
        <v>1</v>
      </c>
      <c r="BG94">
        <v>0</v>
      </c>
      <c r="BH94">
        <v>2</v>
      </c>
      <c r="BI94">
        <v>7</v>
      </c>
      <c r="BJ94">
        <v>2</v>
      </c>
      <c r="BK94">
        <v>7</v>
      </c>
      <c r="BL94">
        <v>4</v>
      </c>
      <c r="BM94">
        <v>10</v>
      </c>
      <c r="BN94">
        <v>21</v>
      </c>
      <c r="BO94">
        <v>0</v>
      </c>
      <c r="BP94">
        <v>2</v>
      </c>
      <c r="BQ94">
        <v>4</v>
      </c>
      <c r="BR94">
        <v>2</v>
      </c>
      <c r="BS94">
        <v>2</v>
      </c>
      <c r="BT94">
        <v>3</v>
      </c>
      <c r="BU94">
        <v>2</v>
      </c>
      <c r="BV94">
        <v>1</v>
      </c>
      <c r="BW94">
        <v>3</v>
      </c>
      <c r="BX94">
        <v>2</v>
      </c>
      <c r="BY94">
        <v>1</v>
      </c>
      <c r="BZ94">
        <v>2</v>
      </c>
      <c r="CA94">
        <v>2</v>
      </c>
      <c r="CB94">
        <v>1</v>
      </c>
      <c r="CC94">
        <v>9</v>
      </c>
      <c r="CD94">
        <v>3</v>
      </c>
      <c r="CE94">
        <v>1</v>
      </c>
      <c r="CF94">
        <v>2</v>
      </c>
      <c r="CG94">
        <v>25</v>
      </c>
      <c r="CH94">
        <v>12</v>
      </c>
      <c r="CI94">
        <v>16</v>
      </c>
      <c r="CJ94">
        <v>20</v>
      </c>
      <c r="CK94">
        <v>20</v>
      </c>
      <c r="CL94">
        <v>27</v>
      </c>
      <c r="CM94">
        <v>14</v>
      </c>
      <c r="CN94">
        <v>15</v>
      </c>
      <c r="CO94">
        <v>18</v>
      </c>
      <c r="CP94" s="26">
        <v>22</v>
      </c>
      <c r="CQ94" s="20">
        <v>7</v>
      </c>
      <c r="CR94" s="24">
        <v>27</v>
      </c>
      <c r="CS94" s="24">
        <v>27.869047619047617</v>
      </c>
      <c r="CT94" s="24">
        <v>11.714285714285714</v>
      </c>
      <c r="CU94" s="24">
        <v>522.85714285714289</v>
      </c>
      <c r="CV94" s="24">
        <v>470.71428571428572</v>
      </c>
      <c r="CW94" s="24">
        <v>52.142857142857146</v>
      </c>
      <c r="CX94" s="24">
        <v>88.613301381158522</v>
      </c>
      <c r="CY94" s="25">
        <v>0</v>
      </c>
      <c r="CZ94" s="20">
        <v>7</v>
      </c>
      <c r="DA94" s="24">
        <v>26.928571428571427</v>
      </c>
      <c r="DB94" s="24">
        <v>28.135714285714283</v>
      </c>
      <c r="DC94" s="24">
        <v>11.954761904761904</v>
      </c>
      <c r="DD94" s="24">
        <v>12.142857142857142</v>
      </c>
      <c r="DE94" s="24">
        <v>552.85714285714289</v>
      </c>
      <c r="DF94" s="24">
        <v>416.85714285714283</v>
      </c>
      <c r="DG94" s="24">
        <v>72.428571428571431</v>
      </c>
      <c r="DH94" s="24">
        <v>72.987142857142857</v>
      </c>
      <c r="DI94" s="24">
        <v>52.285714285714285</v>
      </c>
      <c r="DJ94" s="24">
        <v>62.769294325745932</v>
      </c>
      <c r="DK94" s="24">
        <v>86.412093283061026</v>
      </c>
      <c r="DL94" s="25">
        <v>84.506989463258165</v>
      </c>
      <c r="DM94" s="20">
        <v>19</v>
      </c>
      <c r="DN94" s="24">
        <v>23.184210526315791</v>
      </c>
      <c r="DO94" s="24">
        <v>23.714912280701757</v>
      </c>
      <c r="DP94" s="24">
        <v>8.942982456140351</v>
      </c>
      <c r="DQ94" s="24">
        <v>585.52631578947364</v>
      </c>
      <c r="DR94" s="24">
        <v>553.14894736842109</v>
      </c>
      <c r="DS94" s="24">
        <v>31.842105263157894</v>
      </c>
      <c r="DT94" s="24">
        <v>94.769764003977386</v>
      </c>
      <c r="DU94" s="25">
        <v>0.53526315789473689</v>
      </c>
      <c r="DV94" s="20">
        <v>19</v>
      </c>
      <c r="DW94" s="24">
        <v>23.605263157894736</v>
      </c>
      <c r="DX94" s="24">
        <v>24.579824561403512</v>
      </c>
      <c r="DY94" s="24">
        <v>8.5245614035087698</v>
      </c>
      <c r="DZ94" s="24">
        <v>8.942982456140351</v>
      </c>
      <c r="EA94" s="24">
        <v>560.26315789473688</v>
      </c>
      <c r="EB94" s="24">
        <v>420.78947368421052</v>
      </c>
      <c r="EC94" s="24">
        <v>420.78947368421052</v>
      </c>
      <c r="ED94" s="24">
        <v>75.15315789473685</v>
      </c>
      <c r="EE94" s="24">
        <v>55.89473684210526</v>
      </c>
      <c r="EF94" s="24">
        <v>72.435036497729996</v>
      </c>
      <c r="EG94" s="24">
        <v>90.093860044324444</v>
      </c>
      <c r="EH94" s="25">
        <v>81.350736861927729</v>
      </c>
      <c r="EI94" s="20">
        <v>19</v>
      </c>
      <c r="EJ94" s="24">
        <v>23.184210526315791</v>
      </c>
      <c r="EK94" s="24">
        <v>23.714912280701757</v>
      </c>
      <c r="EL94" s="24">
        <v>8.942982456140351</v>
      </c>
      <c r="EM94" s="24">
        <v>585.52631578947364</v>
      </c>
      <c r="EN94" s="24">
        <v>553.14894736842109</v>
      </c>
      <c r="EO94" s="24">
        <v>31.842105263157894</v>
      </c>
      <c r="EP94" s="24">
        <v>94.769764003977386</v>
      </c>
      <c r="EQ94" s="25">
        <v>0.53526315789473689</v>
      </c>
      <c r="ER94" s="20">
        <v>17</v>
      </c>
      <c r="ES94" s="24">
        <v>23.264705882352942</v>
      </c>
      <c r="ET94" s="24">
        <v>24.268627450980397</v>
      </c>
      <c r="EU94" s="24">
        <v>8.2333333333333325</v>
      </c>
      <c r="EV94" s="24">
        <v>8.6715686274509807</v>
      </c>
      <c r="EW94" s="24">
        <v>564.41176470588232</v>
      </c>
      <c r="EX94" s="24">
        <v>420.88235294117646</v>
      </c>
      <c r="EY94" s="24">
        <v>60.235294117647058</v>
      </c>
      <c r="EZ94" s="24">
        <v>74.608235294117662</v>
      </c>
      <c r="FA94" s="24">
        <v>57</v>
      </c>
      <c r="FB94" s="24">
        <v>71.581565205267623</v>
      </c>
      <c r="FC94" s="24">
        <v>89.831930468608675</v>
      </c>
      <c r="FD94" s="24">
        <v>80.917567111735437</v>
      </c>
    </row>
    <row r="95" spans="1:160" x14ac:dyDescent="0.25">
      <c r="A95">
        <v>6056</v>
      </c>
      <c r="B95">
        <v>2</v>
      </c>
      <c r="C95">
        <v>20</v>
      </c>
      <c r="D95" s="1">
        <v>1.7</v>
      </c>
      <c r="E95">
        <v>61</v>
      </c>
      <c r="F95">
        <v>21.11</v>
      </c>
      <c r="G95">
        <v>1</v>
      </c>
      <c r="H95">
        <v>9</v>
      </c>
      <c r="I95">
        <v>28</v>
      </c>
      <c r="J95">
        <v>2</v>
      </c>
      <c r="K95">
        <v>1</v>
      </c>
      <c r="L95">
        <v>3</v>
      </c>
      <c r="M95" s="1">
        <v>22.08</v>
      </c>
      <c r="O95" s="1">
        <v>22</v>
      </c>
      <c r="P95" s="1">
        <v>-0.08</v>
      </c>
      <c r="Q95" s="1">
        <v>23.979999999999997</v>
      </c>
      <c r="R95" s="1">
        <v>1.9</v>
      </c>
      <c r="S95" s="1">
        <v>21</v>
      </c>
      <c r="T95">
        <v>2</v>
      </c>
      <c r="U95">
        <v>2</v>
      </c>
      <c r="V95">
        <v>0</v>
      </c>
      <c r="W95">
        <v>4</v>
      </c>
      <c r="X95">
        <v>1</v>
      </c>
      <c r="Y95">
        <v>10</v>
      </c>
      <c r="Z95">
        <v>4</v>
      </c>
      <c r="AA95">
        <v>1</v>
      </c>
      <c r="AB95">
        <v>1</v>
      </c>
      <c r="AC95">
        <v>7</v>
      </c>
      <c r="AD95">
        <v>1</v>
      </c>
      <c r="AE95">
        <v>1</v>
      </c>
      <c r="AF95">
        <v>3</v>
      </c>
      <c r="AG95">
        <v>0</v>
      </c>
      <c r="AH95">
        <v>0</v>
      </c>
      <c r="AI95">
        <v>1</v>
      </c>
      <c r="AJ95">
        <v>0</v>
      </c>
      <c r="AK95">
        <v>1</v>
      </c>
      <c r="AL95">
        <v>6</v>
      </c>
      <c r="AM95">
        <v>2</v>
      </c>
      <c r="AN95">
        <v>5</v>
      </c>
      <c r="AO95">
        <v>2</v>
      </c>
      <c r="AP95">
        <v>3</v>
      </c>
      <c r="AQ95">
        <v>10</v>
      </c>
      <c r="AR95">
        <v>0</v>
      </c>
      <c r="AS95">
        <v>3</v>
      </c>
      <c r="AT95">
        <v>3</v>
      </c>
      <c r="AU95">
        <v>1</v>
      </c>
      <c r="AV95">
        <v>5</v>
      </c>
      <c r="AW95">
        <v>1</v>
      </c>
      <c r="AX95">
        <v>1</v>
      </c>
      <c r="AY95">
        <v>1</v>
      </c>
      <c r="AZ95">
        <v>8</v>
      </c>
      <c r="BA95">
        <v>2</v>
      </c>
      <c r="BB95">
        <v>1</v>
      </c>
      <c r="BC95">
        <v>3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6</v>
      </c>
      <c r="BJ95">
        <v>2</v>
      </c>
      <c r="BK95">
        <v>5</v>
      </c>
      <c r="BL95">
        <v>1</v>
      </c>
      <c r="BM95">
        <v>2</v>
      </c>
      <c r="BN95">
        <v>8</v>
      </c>
      <c r="BO95">
        <v>0</v>
      </c>
      <c r="BP95">
        <v>15</v>
      </c>
      <c r="BQ95">
        <v>3</v>
      </c>
      <c r="BR95">
        <v>2</v>
      </c>
      <c r="BS95">
        <v>1</v>
      </c>
      <c r="BT95">
        <v>3</v>
      </c>
      <c r="BU95">
        <v>2</v>
      </c>
      <c r="BV95">
        <v>1</v>
      </c>
      <c r="BW95">
        <v>4</v>
      </c>
      <c r="BX95">
        <v>2</v>
      </c>
      <c r="BY95">
        <v>2</v>
      </c>
      <c r="BZ95">
        <v>2</v>
      </c>
      <c r="CA95">
        <v>1</v>
      </c>
      <c r="CB95">
        <v>1</v>
      </c>
      <c r="CC95">
        <v>13</v>
      </c>
      <c r="CD95">
        <v>2</v>
      </c>
      <c r="CE95">
        <v>1</v>
      </c>
      <c r="CF95">
        <v>1</v>
      </c>
      <c r="CG95">
        <v>17</v>
      </c>
      <c r="CH95">
        <v>22</v>
      </c>
      <c r="CI95">
        <v>22</v>
      </c>
      <c r="CJ95">
        <v>20</v>
      </c>
      <c r="CK95">
        <v>22</v>
      </c>
      <c r="CL95">
        <v>14</v>
      </c>
      <c r="CM95">
        <v>15</v>
      </c>
      <c r="CN95">
        <v>20</v>
      </c>
      <c r="CO95">
        <v>19</v>
      </c>
      <c r="CP95" s="26">
        <v>15</v>
      </c>
      <c r="CQ95" s="20">
        <v>7</v>
      </c>
      <c r="CR95" s="24">
        <v>23.25714285714286</v>
      </c>
      <c r="CS95" s="24">
        <v>23.935714285714283</v>
      </c>
      <c r="CT95" s="24">
        <v>8.2690476190476208</v>
      </c>
      <c r="CU95" s="24">
        <v>540.71428571428567</v>
      </c>
      <c r="CV95" s="24">
        <v>500</v>
      </c>
      <c r="CW95" s="24">
        <v>40.714285714285715</v>
      </c>
      <c r="CX95" s="24">
        <v>92.355682279918582</v>
      </c>
      <c r="CY95" s="25">
        <v>0</v>
      </c>
      <c r="CZ95" s="20">
        <v>7</v>
      </c>
      <c r="DA95" s="24">
        <v>23.983333333333331</v>
      </c>
      <c r="DB95" s="24">
        <v>24.661904761904765</v>
      </c>
      <c r="DC95" s="24">
        <v>8.6952380952380963</v>
      </c>
      <c r="DD95" s="24">
        <v>9.1023809523809511</v>
      </c>
      <c r="DE95" s="24">
        <v>547.14285714285711</v>
      </c>
      <c r="DF95" s="24">
        <v>426.42857142857144</v>
      </c>
      <c r="DG95" s="24">
        <v>40.714285714285715</v>
      </c>
      <c r="DH95" s="24">
        <v>77.878571428571405</v>
      </c>
      <c r="DI95" s="24">
        <v>55.571428571428569</v>
      </c>
      <c r="DJ95" s="24">
        <v>77.644655830575047</v>
      </c>
      <c r="DK95" s="24">
        <v>88.376882795569159</v>
      </c>
      <c r="DL95" s="25">
        <v>81.008274449467834</v>
      </c>
      <c r="DM95" s="20">
        <v>26</v>
      </c>
      <c r="DN95" s="24">
        <v>22.405128205128204</v>
      </c>
      <c r="DO95" s="24">
        <v>23.23205128205128</v>
      </c>
      <c r="DP95" s="24">
        <v>7.792307692307693</v>
      </c>
      <c r="DQ95" s="24">
        <v>563.23076923076928</v>
      </c>
      <c r="DR95" s="24">
        <v>512.24</v>
      </c>
      <c r="DS95" s="24">
        <v>51.6</v>
      </c>
      <c r="DT95" s="24">
        <v>90.871830921202843</v>
      </c>
      <c r="DU95" s="25">
        <v>0.19230769230769232</v>
      </c>
      <c r="DV95" s="20">
        <v>26</v>
      </c>
      <c r="DW95" s="24">
        <v>23.22051282051282</v>
      </c>
      <c r="DX95" s="24">
        <v>23.523148148148145</v>
      </c>
      <c r="DY95" s="24">
        <v>6.762037037037036</v>
      </c>
      <c r="DZ95" s="24">
        <v>7.6205128205128201</v>
      </c>
      <c r="EA95" s="24">
        <v>504</v>
      </c>
      <c r="EB95" s="24">
        <v>383.83333333333331</v>
      </c>
      <c r="EC95" s="24">
        <v>383.83333333333331</v>
      </c>
      <c r="ED95" s="24">
        <v>74.454999999999998</v>
      </c>
      <c r="EE95" s="24">
        <v>50.5</v>
      </c>
      <c r="EF95" s="24">
        <v>70.058651142420374</v>
      </c>
      <c r="EG95" s="24">
        <v>88.379689072288599</v>
      </c>
      <c r="EH95" s="25">
        <v>79.781790920430296</v>
      </c>
      <c r="EI95" s="20">
        <v>24</v>
      </c>
      <c r="EJ95" s="24">
        <v>22.185416666666665</v>
      </c>
      <c r="EK95" s="24">
        <v>23.029166666666665</v>
      </c>
      <c r="EL95" s="24">
        <v>7.8097222222222227</v>
      </c>
      <c r="EM95" s="24">
        <v>577.45833333333337</v>
      </c>
      <c r="EN95" s="24">
        <v>525.91304347826087</v>
      </c>
      <c r="EO95" s="24">
        <v>52.826086956521742</v>
      </c>
      <c r="EP95" s="24">
        <v>90.840158053860151</v>
      </c>
      <c r="EQ95" s="25">
        <v>0.20833333333333334</v>
      </c>
      <c r="ER95" s="20">
        <v>13</v>
      </c>
      <c r="ES95" s="24">
        <v>22.72051282051282</v>
      </c>
      <c r="ET95" s="24">
        <v>23.0037037037037</v>
      </c>
      <c r="EU95" s="24">
        <v>6.2666666666666675</v>
      </c>
      <c r="EV95" s="24">
        <v>7.5474358974358982</v>
      </c>
      <c r="EW95" s="24">
        <v>529.61538461538464</v>
      </c>
      <c r="EX95" s="24">
        <v>383.55555555555554</v>
      </c>
      <c r="EY95" s="24">
        <v>21.666666666666668</v>
      </c>
      <c r="EZ95" s="24">
        <v>70.193333333333328</v>
      </c>
      <c r="FA95" s="24">
        <v>52.222222222222221</v>
      </c>
      <c r="FB95" s="24">
        <v>75.309768414460322</v>
      </c>
      <c r="FC95" s="24">
        <v>87.438026678455344</v>
      </c>
      <c r="FD95" s="24">
        <v>80.471675292426625</v>
      </c>
    </row>
    <row r="96" spans="1:160" x14ac:dyDescent="0.25">
      <c r="A96">
        <v>6057</v>
      </c>
      <c r="B96">
        <v>1</v>
      </c>
      <c r="C96">
        <v>37</v>
      </c>
      <c r="D96" s="1">
        <v>1.9</v>
      </c>
      <c r="E96">
        <v>91</v>
      </c>
      <c r="F96">
        <v>25.21</v>
      </c>
      <c r="G96">
        <v>2</v>
      </c>
      <c r="H96">
        <v>11</v>
      </c>
      <c r="I96">
        <v>25</v>
      </c>
      <c r="J96">
        <v>2</v>
      </c>
      <c r="K96">
        <v>1</v>
      </c>
      <c r="L96">
        <v>3</v>
      </c>
      <c r="M96" s="1">
        <v>21.28</v>
      </c>
      <c r="O96" s="1">
        <v>22</v>
      </c>
      <c r="P96" s="1">
        <v>0.72</v>
      </c>
      <c r="Q96" s="1">
        <v>24.16</v>
      </c>
      <c r="R96" s="1">
        <v>2.88</v>
      </c>
      <c r="S96" s="1">
        <v>21</v>
      </c>
      <c r="T96">
        <v>0</v>
      </c>
      <c r="U96">
        <v>2</v>
      </c>
      <c r="V96">
        <v>0</v>
      </c>
      <c r="W96">
        <v>1</v>
      </c>
      <c r="X96">
        <v>1</v>
      </c>
      <c r="Y96">
        <v>3</v>
      </c>
      <c r="Z96">
        <v>12</v>
      </c>
      <c r="AA96">
        <v>1</v>
      </c>
      <c r="AB96">
        <v>1</v>
      </c>
      <c r="AC96">
        <v>14</v>
      </c>
      <c r="AD96">
        <v>2</v>
      </c>
      <c r="AE96">
        <v>1</v>
      </c>
      <c r="AF96">
        <v>2</v>
      </c>
      <c r="AG96">
        <v>1</v>
      </c>
      <c r="AH96">
        <v>2</v>
      </c>
      <c r="AI96">
        <v>0</v>
      </c>
      <c r="AJ96">
        <v>0</v>
      </c>
      <c r="AK96">
        <v>2</v>
      </c>
      <c r="AL96">
        <v>8</v>
      </c>
      <c r="AM96">
        <v>2</v>
      </c>
      <c r="AN96">
        <v>7</v>
      </c>
      <c r="AO96">
        <v>7</v>
      </c>
      <c r="AP96">
        <v>6</v>
      </c>
      <c r="AQ96">
        <v>20</v>
      </c>
      <c r="AR96">
        <v>0</v>
      </c>
      <c r="AS96">
        <v>20</v>
      </c>
      <c r="AT96">
        <v>10</v>
      </c>
      <c r="AU96">
        <v>2</v>
      </c>
      <c r="AV96">
        <v>8</v>
      </c>
      <c r="AW96">
        <v>17</v>
      </c>
      <c r="AX96">
        <v>2</v>
      </c>
      <c r="AY96">
        <v>1</v>
      </c>
      <c r="AZ96">
        <v>12</v>
      </c>
      <c r="BA96">
        <v>2</v>
      </c>
      <c r="BB96">
        <v>1</v>
      </c>
      <c r="BC96">
        <v>3</v>
      </c>
      <c r="BD96">
        <v>0</v>
      </c>
      <c r="BE96">
        <v>1</v>
      </c>
      <c r="BF96">
        <v>1</v>
      </c>
      <c r="BG96">
        <v>0</v>
      </c>
      <c r="BH96">
        <v>2</v>
      </c>
      <c r="BI96">
        <v>8</v>
      </c>
      <c r="BJ96">
        <v>2</v>
      </c>
      <c r="BK96">
        <v>7</v>
      </c>
      <c r="BL96">
        <v>8</v>
      </c>
      <c r="BM96">
        <v>8</v>
      </c>
      <c r="BN96">
        <v>23</v>
      </c>
      <c r="BO96">
        <v>2</v>
      </c>
      <c r="BP96">
        <v>3</v>
      </c>
      <c r="BQ96">
        <v>3</v>
      </c>
      <c r="BR96">
        <v>2</v>
      </c>
      <c r="BS96">
        <v>1</v>
      </c>
      <c r="BT96">
        <v>2</v>
      </c>
      <c r="BU96">
        <v>1</v>
      </c>
      <c r="BV96">
        <v>1</v>
      </c>
      <c r="BW96">
        <v>4</v>
      </c>
      <c r="BX96">
        <v>2</v>
      </c>
      <c r="BY96">
        <v>2</v>
      </c>
      <c r="BZ96">
        <v>2</v>
      </c>
      <c r="CA96">
        <v>1</v>
      </c>
      <c r="CB96">
        <v>1</v>
      </c>
      <c r="CC96">
        <v>13</v>
      </c>
      <c r="CD96">
        <v>3</v>
      </c>
      <c r="CE96">
        <v>1</v>
      </c>
      <c r="CF96">
        <v>2</v>
      </c>
      <c r="CG96">
        <v>20</v>
      </c>
      <c r="CH96">
        <v>24</v>
      </c>
      <c r="CI96">
        <v>26</v>
      </c>
      <c r="CJ96">
        <v>24</v>
      </c>
      <c r="CK96">
        <v>22</v>
      </c>
      <c r="CL96">
        <v>33</v>
      </c>
      <c r="CM96">
        <v>28</v>
      </c>
      <c r="CN96">
        <v>29</v>
      </c>
      <c r="CO96">
        <v>27</v>
      </c>
      <c r="CP96" s="26">
        <v>25</v>
      </c>
      <c r="CQ96" s="20">
        <v>7</v>
      </c>
      <c r="CR96" s="24">
        <v>24.395238095238092</v>
      </c>
      <c r="CS96" s="24">
        <v>25.359523809523807</v>
      </c>
      <c r="CT96" s="24">
        <v>8.2047619047619058</v>
      </c>
      <c r="CU96" s="24">
        <v>468.57142857142856</v>
      </c>
      <c r="CV96" s="24">
        <v>376.42857142857144</v>
      </c>
      <c r="CW96" s="24">
        <v>57.857142857142854</v>
      </c>
      <c r="CX96" s="24">
        <v>78.508470979225095</v>
      </c>
      <c r="CY96" s="25">
        <v>34.285714285714285</v>
      </c>
      <c r="CZ96" s="20">
        <v>6</v>
      </c>
      <c r="DA96" s="24">
        <v>24.155555555555555</v>
      </c>
      <c r="DB96" s="24">
        <v>24.797222222222228</v>
      </c>
      <c r="DC96" s="24">
        <v>7.9777777777777779</v>
      </c>
      <c r="DD96" s="24">
        <v>8.1555555555555568</v>
      </c>
      <c r="DE96" s="24">
        <v>480</v>
      </c>
      <c r="DF96" s="24">
        <v>395</v>
      </c>
      <c r="DG96" s="24">
        <v>38.5</v>
      </c>
      <c r="DH96" s="24">
        <v>82.341666666666654</v>
      </c>
      <c r="DI96" s="24">
        <v>35.833333333333336</v>
      </c>
      <c r="DJ96" s="24">
        <v>78.974066264414375</v>
      </c>
      <c r="DK96" s="24">
        <v>92.500361547038779</v>
      </c>
      <c r="DL96" s="25">
        <v>89.845543589448994</v>
      </c>
      <c r="DM96" s="20">
        <v>17</v>
      </c>
      <c r="DN96" s="24">
        <v>22.573529411764707</v>
      </c>
      <c r="DO96" s="24">
        <v>23.254901960784316</v>
      </c>
      <c r="DP96" s="24">
        <v>8.0677083333333339</v>
      </c>
      <c r="DQ96" s="24">
        <v>569.375</v>
      </c>
      <c r="DR96" s="24">
        <v>481.875</v>
      </c>
      <c r="DS96" s="24">
        <v>40.882352941176471</v>
      </c>
      <c r="DT96" s="24">
        <v>84.643360560065531</v>
      </c>
      <c r="DU96" s="25">
        <v>45</v>
      </c>
      <c r="DV96" s="20">
        <v>17</v>
      </c>
      <c r="DW96" s="24">
        <v>22.920588235294112</v>
      </c>
      <c r="DX96" s="24">
        <v>23.06862745098039</v>
      </c>
      <c r="DY96" s="24">
        <v>7.4931372549019599</v>
      </c>
      <c r="DZ96" s="24">
        <v>7.9450980392156865</v>
      </c>
      <c r="EA96" s="24">
        <v>541.47058823529414</v>
      </c>
      <c r="EB96" s="24">
        <v>461.52941176470586</v>
      </c>
      <c r="EC96" s="24">
        <v>461.52941176470586</v>
      </c>
      <c r="ED96" s="24">
        <v>85.214705882352931</v>
      </c>
      <c r="EE96" s="24">
        <v>43.941176470588232</v>
      </c>
      <c r="EF96" s="24">
        <v>86.39589561522746</v>
      </c>
      <c r="EG96" s="24">
        <v>91.941517995667411</v>
      </c>
      <c r="EH96" s="25">
        <v>84.548925627909</v>
      </c>
      <c r="EI96" s="20">
        <v>17</v>
      </c>
      <c r="EJ96" s="24">
        <v>22.573529411764707</v>
      </c>
      <c r="EK96" s="24">
        <v>23.254901960784316</v>
      </c>
      <c r="EL96" s="24">
        <v>8.0677083333333339</v>
      </c>
      <c r="EM96" s="24">
        <v>569.375</v>
      </c>
      <c r="EN96" s="24">
        <v>481.875</v>
      </c>
      <c r="EO96" s="24">
        <v>40.882352941176471</v>
      </c>
      <c r="EP96" s="24">
        <v>84.643360560065531</v>
      </c>
      <c r="EQ96" s="25">
        <v>45</v>
      </c>
      <c r="ER96" s="20">
        <v>12</v>
      </c>
      <c r="ES96" s="24">
        <v>22.626388888888886</v>
      </c>
      <c r="ET96" s="24">
        <v>22.8</v>
      </c>
      <c r="EU96" s="24">
        <v>7.2347222222222216</v>
      </c>
      <c r="EV96" s="24">
        <v>7.7250000000000005</v>
      </c>
      <c r="EW96" s="24">
        <v>545.91666666666663</v>
      </c>
      <c r="EX96" s="24">
        <v>460.08333333333331</v>
      </c>
      <c r="EY96" s="24">
        <v>10.416666666666666</v>
      </c>
      <c r="EZ96" s="24">
        <v>84.293333333333337</v>
      </c>
      <c r="FA96" s="24">
        <v>46</v>
      </c>
      <c r="FB96" s="24">
        <v>86.631656317376397</v>
      </c>
      <c r="FC96" s="24">
        <v>91.002159235120914</v>
      </c>
      <c r="FD96" s="24">
        <v>84.350162928687396</v>
      </c>
    </row>
    <row r="97" spans="1:160" x14ac:dyDescent="0.25">
      <c r="A97">
        <v>6063</v>
      </c>
      <c r="B97">
        <v>1</v>
      </c>
      <c r="C97">
        <v>20</v>
      </c>
      <c r="D97" s="1">
        <v>1.85</v>
      </c>
      <c r="E97">
        <v>89</v>
      </c>
      <c r="F97">
        <v>26</v>
      </c>
      <c r="G97">
        <v>1</v>
      </c>
      <c r="H97">
        <v>15</v>
      </c>
      <c r="I97">
        <v>21</v>
      </c>
      <c r="J97">
        <v>1</v>
      </c>
      <c r="K97">
        <v>2</v>
      </c>
      <c r="L97">
        <v>3</v>
      </c>
      <c r="M97" s="1">
        <v>25.38</v>
      </c>
      <c r="O97" s="1">
        <v>24</v>
      </c>
      <c r="P97" s="1">
        <v>-1.38</v>
      </c>
      <c r="Q97" s="1">
        <v>27.59</v>
      </c>
      <c r="R97" s="1">
        <v>2.21</v>
      </c>
      <c r="S97" s="1">
        <v>23</v>
      </c>
      <c r="T97">
        <v>0</v>
      </c>
      <c r="U97">
        <v>2</v>
      </c>
      <c r="V97">
        <v>0</v>
      </c>
      <c r="W97">
        <v>6</v>
      </c>
      <c r="X97">
        <v>1</v>
      </c>
      <c r="Y97">
        <v>4</v>
      </c>
      <c r="Z97">
        <v>6</v>
      </c>
      <c r="AA97">
        <v>1</v>
      </c>
      <c r="AB97">
        <v>1</v>
      </c>
      <c r="AC97">
        <v>10</v>
      </c>
      <c r="AD97">
        <v>2</v>
      </c>
      <c r="AE97">
        <v>2</v>
      </c>
      <c r="AF97">
        <v>2</v>
      </c>
      <c r="AG97">
        <v>1</v>
      </c>
      <c r="AH97">
        <v>0</v>
      </c>
      <c r="AI97">
        <v>1</v>
      </c>
      <c r="AJ97">
        <v>0</v>
      </c>
      <c r="AK97">
        <v>1</v>
      </c>
      <c r="AL97">
        <v>7</v>
      </c>
      <c r="AM97">
        <v>2</v>
      </c>
      <c r="AN97">
        <v>6</v>
      </c>
      <c r="AO97">
        <v>3</v>
      </c>
      <c r="AP97">
        <v>2</v>
      </c>
      <c r="AQ97">
        <v>11</v>
      </c>
      <c r="AR97">
        <v>5</v>
      </c>
      <c r="AS97">
        <v>3</v>
      </c>
      <c r="AT97">
        <v>5</v>
      </c>
      <c r="AU97">
        <v>1</v>
      </c>
      <c r="AV97">
        <v>1</v>
      </c>
      <c r="AW97">
        <v>3</v>
      </c>
      <c r="AX97">
        <v>1</v>
      </c>
      <c r="AY97">
        <v>1</v>
      </c>
      <c r="AZ97">
        <v>9</v>
      </c>
      <c r="BA97">
        <v>2</v>
      </c>
      <c r="BB97">
        <v>1</v>
      </c>
      <c r="BC97">
        <v>2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4</v>
      </c>
      <c r="BJ97">
        <v>1</v>
      </c>
      <c r="BK97">
        <v>5</v>
      </c>
      <c r="BL97">
        <v>2</v>
      </c>
      <c r="BM97">
        <v>3</v>
      </c>
      <c r="BN97">
        <v>10</v>
      </c>
      <c r="BO97">
        <v>1</v>
      </c>
      <c r="BP97">
        <v>10</v>
      </c>
      <c r="BQ97">
        <v>3</v>
      </c>
      <c r="BR97">
        <v>2</v>
      </c>
      <c r="BS97">
        <v>1</v>
      </c>
      <c r="BT97">
        <v>4</v>
      </c>
      <c r="BU97">
        <v>2</v>
      </c>
      <c r="BV97">
        <v>2</v>
      </c>
      <c r="BW97">
        <v>2</v>
      </c>
      <c r="BX97">
        <v>1</v>
      </c>
      <c r="BY97">
        <v>1</v>
      </c>
      <c r="BZ97">
        <v>1</v>
      </c>
      <c r="CA97">
        <v>3</v>
      </c>
      <c r="CB97">
        <v>1</v>
      </c>
      <c r="CC97">
        <v>5</v>
      </c>
      <c r="CD97">
        <v>6</v>
      </c>
      <c r="CE97">
        <v>2</v>
      </c>
      <c r="CF97">
        <v>1</v>
      </c>
      <c r="CG97">
        <v>21</v>
      </c>
      <c r="CH97">
        <v>18</v>
      </c>
      <c r="CI97">
        <v>26</v>
      </c>
      <c r="CJ97">
        <v>15</v>
      </c>
      <c r="CK97">
        <v>16</v>
      </c>
      <c r="CL97">
        <v>17</v>
      </c>
      <c r="CM97">
        <v>15</v>
      </c>
      <c r="CN97">
        <v>16</v>
      </c>
      <c r="CO97">
        <v>14</v>
      </c>
      <c r="CP97" s="26">
        <v>12</v>
      </c>
      <c r="CQ97" s="20">
        <v>7</v>
      </c>
      <c r="CR97" s="24">
        <v>27.585714285714285</v>
      </c>
      <c r="CS97" s="24">
        <v>27.942857142857147</v>
      </c>
      <c r="CT97" s="24">
        <v>10.016666666666666</v>
      </c>
      <c r="CU97" s="24">
        <v>385.85714285714283</v>
      </c>
      <c r="CV97" s="24">
        <v>359.71428571428572</v>
      </c>
      <c r="CW97" s="24">
        <v>21.428571428571427</v>
      </c>
      <c r="CX97" s="24">
        <v>92.237632393183176</v>
      </c>
      <c r="CY97" s="25">
        <v>4.7142857142857144</v>
      </c>
      <c r="CZ97" s="20">
        <v>7</v>
      </c>
      <c r="DA97" s="24">
        <v>27.585714285714285</v>
      </c>
      <c r="DB97" s="24">
        <v>28.035714285714285</v>
      </c>
      <c r="DC97" s="24">
        <v>9.7547619047619047</v>
      </c>
      <c r="DD97" s="24">
        <v>10.016666666666666</v>
      </c>
      <c r="DE97" s="24">
        <v>385.85714285714283</v>
      </c>
      <c r="DF97" s="24">
        <v>306.85714285714283</v>
      </c>
      <c r="DG97" s="24">
        <v>27</v>
      </c>
      <c r="DH97" s="24">
        <v>79.244285714285709</v>
      </c>
      <c r="DI97" s="24">
        <v>36.285714285714285</v>
      </c>
      <c r="DJ97" s="24">
        <v>77.237796139835567</v>
      </c>
      <c r="DK97" s="24">
        <v>91.401958409587891</v>
      </c>
      <c r="DL97" s="25">
        <v>85.142051143245538</v>
      </c>
      <c r="DM97" s="20">
        <v>20</v>
      </c>
      <c r="DN97" s="24">
        <v>24.074999999999999</v>
      </c>
      <c r="DO97" s="24">
        <v>24.549999999999997</v>
      </c>
      <c r="DP97" s="24">
        <v>9.7249999999999996</v>
      </c>
      <c r="DQ97" s="24">
        <v>579</v>
      </c>
      <c r="DR97" s="24">
        <v>549.25</v>
      </c>
      <c r="DS97" s="24">
        <v>28.5</v>
      </c>
      <c r="DT97" s="24">
        <v>94.570363201126526</v>
      </c>
      <c r="DU97" s="25">
        <v>1.25</v>
      </c>
      <c r="DV97" s="20">
        <v>20</v>
      </c>
      <c r="DW97" s="24">
        <v>24.903333333333329</v>
      </c>
      <c r="DX97" s="24">
        <v>25.216666666666669</v>
      </c>
      <c r="DY97" s="24">
        <v>9.9175000000000004</v>
      </c>
      <c r="DZ97" s="24">
        <v>10.215</v>
      </c>
      <c r="EA97" s="24">
        <v>558.70000000000005</v>
      </c>
      <c r="EB97" s="24">
        <v>462.75</v>
      </c>
      <c r="EC97" s="24">
        <v>462.75</v>
      </c>
      <c r="ED97" s="24">
        <v>82.539000000000001</v>
      </c>
      <c r="EE97" s="24">
        <v>59.3</v>
      </c>
      <c r="EF97" s="24">
        <v>74.767973565640744</v>
      </c>
      <c r="EG97" s="24">
        <v>90.935291432729557</v>
      </c>
      <c r="EH97" s="25">
        <v>84.50972282384302</v>
      </c>
      <c r="EI97" s="20">
        <v>20</v>
      </c>
      <c r="EJ97" s="24">
        <v>24.074999999999999</v>
      </c>
      <c r="EK97" s="24">
        <v>24.549999999999997</v>
      </c>
      <c r="EL97" s="24">
        <v>9.7249999999999996</v>
      </c>
      <c r="EM97" s="24">
        <v>579</v>
      </c>
      <c r="EN97" s="24">
        <v>549.25</v>
      </c>
      <c r="EO97" s="24">
        <v>28.5</v>
      </c>
      <c r="EP97" s="24">
        <v>94.570363201126526</v>
      </c>
      <c r="EQ97" s="25">
        <v>1.25</v>
      </c>
      <c r="ER97" s="20">
        <v>14</v>
      </c>
      <c r="ES97" s="24">
        <v>24.172619047619044</v>
      </c>
      <c r="ET97" s="24">
        <v>24.545238095238094</v>
      </c>
      <c r="EU97" s="24">
        <v>9.6</v>
      </c>
      <c r="EV97" s="24">
        <v>9.8654761904761887</v>
      </c>
      <c r="EW97" s="24">
        <v>581.57142857142856</v>
      </c>
      <c r="EX97" s="24">
        <v>483.71428571428572</v>
      </c>
      <c r="EY97" s="24">
        <v>22.357142857142858</v>
      </c>
      <c r="EZ97" s="24">
        <v>82.648571428571429</v>
      </c>
      <c r="FA97" s="24">
        <v>59.571428571428569</v>
      </c>
      <c r="FB97" s="24">
        <v>79.576589044054714</v>
      </c>
      <c r="FC97" s="24">
        <v>91.129085004002803</v>
      </c>
      <c r="FD97" s="24">
        <v>84.589328021598902</v>
      </c>
    </row>
    <row r="98" spans="1:160" x14ac:dyDescent="0.25">
      <c r="A98">
        <v>6064</v>
      </c>
      <c r="B98">
        <v>1</v>
      </c>
      <c r="C98">
        <v>25</v>
      </c>
      <c r="D98" s="1">
        <v>1.77</v>
      </c>
      <c r="E98">
        <v>72</v>
      </c>
      <c r="F98">
        <v>22.98</v>
      </c>
      <c r="G98">
        <v>1</v>
      </c>
      <c r="H98">
        <v>13</v>
      </c>
      <c r="I98">
        <v>21</v>
      </c>
      <c r="J98">
        <v>1</v>
      </c>
      <c r="K98">
        <v>2</v>
      </c>
      <c r="L98">
        <v>3</v>
      </c>
      <c r="M98" s="1">
        <v>22.9</v>
      </c>
      <c r="O98" s="1">
        <v>22</v>
      </c>
      <c r="P98" s="1">
        <v>-0.9</v>
      </c>
      <c r="Q98" s="1">
        <v>25.159999999999997</v>
      </c>
      <c r="R98" s="1">
        <v>2.2599999999999998</v>
      </c>
      <c r="S98" s="1">
        <v>21</v>
      </c>
      <c r="T98">
        <v>0</v>
      </c>
      <c r="U98">
        <v>2</v>
      </c>
      <c r="V98">
        <v>0</v>
      </c>
      <c r="W98">
        <v>11</v>
      </c>
      <c r="X98">
        <v>2</v>
      </c>
      <c r="Y98">
        <v>5</v>
      </c>
      <c r="Z98">
        <v>0</v>
      </c>
      <c r="AA98">
        <v>1</v>
      </c>
      <c r="AB98">
        <v>1</v>
      </c>
      <c r="AC98">
        <v>11</v>
      </c>
      <c r="AD98">
        <v>2</v>
      </c>
      <c r="AE98">
        <v>1</v>
      </c>
      <c r="AF98">
        <v>3</v>
      </c>
      <c r="AG98">
        <v>1</v>
      </c>
      <c r="AH98">
        <v>1</v>
      </c>
      <c r="AI98">
        <v>0</v>
      </c>
      <c r="AJ98">
        <v>0</v>
      </c>
      <c r="AK98">
        <v>1</v>
      </c>
      <c r="AL98">
        <v>7</v>
      </c>
      <c r="AM98">
        <v>2</v>
      </c>
      <c r="AN98">
        <v>7</v>
      </c>
      <c r="AO98">
        <v>3</v>
      </c>
      <c r="AP98">
        <v>1</v>
      </c>
      <c r="AQ98">
        <v>11</v>
      </c>
      <c r="AR98">
        <v>2</v>
      </c>
      <c r="AS98">
        <v>10</v>
      </c>
      <c r="AT98">
        <v>6</v>
      </c>
      <c r="AU98">
        <v>1</v>
      </c>
      <c r="AV98">
        <v>3</v>
      </c>
      <c r="AW98">
        <v>11</v>
      </c>
      <c r="AX98">
        <v>1</v>
      </c>
      <c r="AY98">
        <v>1</v>
      </c>
      <c r="AZ98">
        <v>13</v>
      </c>
      <c r="BA98">
        <v>2</v>
      </c>
      <c r="BB98">
        <v>1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2</v>
      </c>
      <c r="BI98">
        <v>5</v>
      </c>
      <c r="BJ98">
        <v>1</v>
      </c>
      <c r="BK98">
        <v>8</v>
      </c>
      <c r="BL98">
        <v>3</v>
      </c>
      <c r="BM98">
        <v>3</v>
      </c>
      <c r="BN98">
        <v>14</v>
      </c>
      <c r="BO98">
        <v>1</v>
      </c>
      <c r="BP98">
        <v>2</v>
      </c>
      <c r="BQ98">
        <v>4</v>
      </c>
      <c r="BR98">
        <v>2</v>
      </c>
      <c r="BS98">
        <v>2</v>
      </c>
      <c r="BT98">
        <v>3</v>
      </c>
      <c r="BU98">
        <v>2</v>
      </c>
      <c r="BV98">
        <v>1</v>
      </c>
      <c r="BW98">
        <v>4</v>
      </c>
      <c r="BX98">
        <v>2</v>
      </c>
      <c r="BY98">
        <v>2</v>
      </c>
      <c r="BZ98">
        <v>2</v>
      </c>
      <c r="CA98">
        <v>1</v>
      </c>
      <c r="CB98">
        <v>1</v>
      </c>
      <c r="CC98">
        <v>13</v>
      </c>
      <c r="CD98">
        <v>3</v>
      </c>
      <c r="CE98">
        <v>1</v>
      </c>
      <c r="CF98">
        <v>1</v>
      </c>
      <c r="CG98">
        <v>21</v>
      </c>
      <c r="CH98">
        <v>15</v>
      </c>
      <c r="CI98">
        <v>16</v>
      </c>
      <c r="CJ98">
        <v>18</v>
      </c>
      <c r="CK98">
        <v>16</v>
      </c>
      <c r="CL98">
        <v>22</v>
      </c>
      <c r="CM98">
        <v>21</v>
      </c>
      <c r="CN98">
        <v>20</v>
      </c>
      <c r="CO98">
        <v>19</v>
      </c>
      <c r="CP98" s="26">
        <v>20</v>
      </c>
      <c r="CQ98" s="20">
        <v>7</v>
      </c>
      <c r="CR98" s="24">
        <v>25.164285714285715</v>
      </c>
      <c r="CS98" s="24">
        <v>25.664285714285715</v>
      </c>
      <c r="CT98" s="24">
        <v>8.1619047619047631</v>
      </c>
      <c r="CU98" s="24">
        <v>419.85714285714283</v>
      </c>
      <c r="CV98" s="24">
        <v>389.85714285714283</v>
      </c>
      <c r="CW98" s="24">
        <v>30</v>
      </c>
      <c r="CX98" s="24">
        <v>92.592136419971112</v>
      </c>
      <c r="CY98" s="25">
        <v>0</v>
      </c>
      <c r="CZ98" s="20">
        <v>7</v>
      </c>
      <c r="DA98" s="24">
        <v>25.161904761904761</v>
      </c>
      <c r="DB98" s="24">
        <v>25.569047619047616</v>
      </c>
      <c r="DC98" s="24">
        <v>7.795238095238096</v>
      </c>
      <c r="DD98" s="24">
        <v>8.1619047619047631</v>
      </c>
      <c r="DE98" s="24">
        <v>420</v>
      </c>
      <c r="DF98" s="24">
        <v>338.85714285714283</v>
      </c>
      <c r="DG98" s="24">
        <v>24.428571428571427</v>
      </c>
      <c r="DH98" s="24">
        <v>81.580000000000013</v>
      </c>
      <c r="DI98" s="24">
        <v>34.714285714285715</v>
      </c>
      <c r="DJ98" s="24">
        <v>85.85446135909001</v>
      </c>
      <c r="DK98" s="24">
        <v>91.535767498081853</v>
      </c>
      <c r="DL98" s="25">
        <v>86.002352585878796</v>
      </c>
      <c r="DM98" s="20">
        <v>1</v>
      </c>
      <c r="DN98" s="24">
        <v>24.066666666666666</v>
      </c>
      <c r="DO98" s="24">
        <v>24.316666666666666</v>
      </c>
      <c r="DP98" s="24">
        <v>5.8833333333333329</v>
      </c>
      <c r="DQ98" s="24">
        <v>349</v>
      </c>
      <c r="DR98" s="24">
        <v>334</v>
      </c>
      <c r="DS98" s="24">
        <v>15</v>
      </c>
      <c r="DT98" s="24">
        <v>95.702005730659025</v>
      </c>
      <c r="DU98" s="25">
        <v>0</v>
      </c>
      <c r="DV98" s="20">
        <v>1</v>
      </c>
      <c r="DW98" s="24">
        <v>24.066666666666666</v>
      </c>
      <c r="DX98" s="24">
        <v>24.383333333333333</v>
      </c>
      <c r="DY98" s="24">
        <v>5.65</v>
      </c>
      <c r="DZ98" s="24">
        <v>5.8833333333333329</v>
      </c>
      <c r="EA98" s="24">
        <v>349</v>
      </c>
      <c r="EB98" s="24">
        <v>288</v>
      </c>
      <c r="EC98" s="24">
        <v>288</v>
      </c>
      <c r="ED98" s="24">
        <v>82.52</v>
      </c>
      <c r="EE98" s="24">
        <v>28</v>
      </c>
      <c r="EF98" s="24">
        <v>87.068965517241381</v>
      </c>
      <c r="EG98" s="24">
        <v>87.931034482758619</v>
      </c>
      <c r="EH98" s="25">
        <v>84.615384615384613</v>
      </c>
      <c r="EJ98" s="24"/>
      <c r="EK98" s="24"/>
      <c r="EL98" s="24"/>
      <c r="EM98" s="24"/>
      <c r="EN98" s="24"/>
      <c r="EO98" s="24"/>
      <c r="EP98" s="24"/>
      <c r="EQ98" s="25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</row>
    <row r="99" spans="1:160" x14ac:dyDescent="0.25">
      <c r="A99">
        <v>6071</v>
      </c>
      <c r="B99">
        <v>2</v>
      </c>
      <c r="C99">
        <v>43</v>
      </c>
      <c r="D99" s="1">
        <v>1.68</v>
      </c>
      <c r="E99">
        <v>65</v>
      </c>
      <c r="F99">
        <v>23.03</v>
      </c>
      <c r="G99">
        <v>1</v>
      </c>
      <c r="H99">
        <v>13</v>
      </c>
      <c r="I99">
        <v>21</v>
      </c>
      <c r="J99">
        <v>1</v>
      </c>
      <c r="K99">
        <v>2</v>
      </c>
      <c r="L99">
        <v>3</v>
      </c>
      <c r="M99" s="1">
        <v>22.18</v>
      </c>
      <c r="O99" s="1">
        <v>22</v>
      </c>
      <c r="P99" s="1">
        <v>-0.18</v>
      </c>
      <c r="Q99" s="1">
        <v>24.03</v>
      </c>
      <c r="R99" s="1">
        <v>1.85</v>
      </c>
      <c r="S99" s="1">
        <v>21</v>
      </c>
      <c r="T99">
        <v>0</v>
      </c>
      <c r="U99">
        <v>2</v>
      </c>
      <c r="V99">
        <v>0</v>
      </c>
      <c r="W99">
        <v>7</v>
      </c>
      <c r="X99">
        <v>1</v>
      </c>
      <c r="Y99">
        <v>5</v>
      </c>
      <c r="Z99">
        <v>8</v>
      </c>
      <c r="AA99">
        <v>1</v>
      </c>
      <c r="AB99">
        <v>1</v>
      </c>
      <c r="AC99">
        <v>12</v>
      </c>
      <c r="AD99">
        <v>2</v>
      </c>
      <c r="AE99">
        <v>2</v>
      </c>
      <c r="AF99">
        <v>2</v>
      </c>
      <c r="AG99">
        <v>1</v>
      </c>
      <c r="AH99">
        <v>0</v>
      </c>
      <c r="AI99">
        <v>1</v>
      </c>
      <c r="AJ99">
        <v>0</v>
      </c>
      <c r="AK99">
        <v>1</v>
      </c>
      <c r="AL99">
        <v>7</v>
      </c>
      <c r="AM99">
        <v>2</v>
      </c>
      <c r="AN99">
        <v>7</v>
      </c>
      <c r="AO99">
        <v>4</v>
      </c>
      <c r="AP99">
        <v>8</v>
      </c>
      <c r="AQ99">
        <v>19</v>
      </c>
      <c r="AR99">
        <v>0</v>
      </c>
      <c r="AS99">
        <v>10</v>
      </c>
      <c r="AT99">
        <v>5</v>
      </c>
      <c r="AU99">
        <v>1</v>
      </c>
      <c r="AV99">
        <v>4</v>
      </c>
      <c r="AW99">
        <v>3</v>
      </c>
      <c r="AX99">
        <v>1</v>
      </c>
      <c r="AY99">
        <v>1</v>
      </c>
      <c r="AZ99">
        <v>4</v>
      </c>
      <c r="BA99">
        <v>1</v>
      </c>
      <c r="BB99">
        <v>0</v>
      </c>
      <c r="BC99">
        <v>1</v>
      </c>
      <c r="BD99">
        <v>0</v>
      </c>
      <c r="BE99">
        <v>1</v>
      </c>
      <c r="BF99">
        <v>1</v>
      </c>
      <c r="BG99">
        <v>0</v>
      </c>
      <c r="BH99">
        <v>1</v>
      </c>
      <c r="BI99">
        <v>4</v>
      </c>
      <c r="BJ99">
        <v>1</v>
      </c>
      <c r="BK99">
        <v>1</v>
      </c>
      <c r="BL99">
        <v>2</v>
      </c>
      <c r="BM99">
        <v>1</v>
      </c>
      <c r="BN99">
        <v>4</v>
      </c>
      <c r="BO99">
        <v>0</v>
      </c>
      <c r="BP99">
        <v>8</v>
      </c>
      <c r="BQ99">
        <v>4</v>
      </c>
      <c r="BR99">
        <v>2</v>
      </c>
      <c r="BS99">
        <v>2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4</v>
      </c>
      <c r="CC99">
        <v>16</v>
      </c>
      <c r="CD99">
        <v>6</v>
      </c>
      <c r="CE99">
        <v>2</v>
      </c>
      <c r="CF99">
        <v>1</v>
      </c>
      <c r="CG99">
        <v>24</v>
      </c>
      <c r="CH99">
        <v>23</v>
      </c>
      <c r="CI99">
        <v>23</v>
      </c>
      <c r="CJ99">
        <v>15</v>
      </c>
      <c r="CK99">
        <v>20</v>
      </c>
      <c r="CL99">
        <v>23</v>
      </c>
      <c r="CM99">
        <v>20</v>
      </c>
      <c r="CN99">
        <v>15</v>
      </c>
      <c r="CO99">
        <v>12</v>
      </c>
      <c r="CP99" s="26">
        <v>12</v>
      </c>
      <c r="CQ99" s="20">
        <v>7</v>
      </c>
      <c r="CR99" s="24">
        <v>24.030952380952385</v>
      </c>
      <c r="CS99" s="24">
        <v>24.419047619047621</v>
      </c>
      <c r="CT99" s="24">
        <v>7.2857142857142856</v>
      </c>
      <c r="CU99" s="24">
        <v>435.28571428571428</v>
      </c>
      <c r="CV99" s="24">
        <v>407.57142857142856</v>
      </c>
      <c r="CW99" s="24">
        <v>23.285714285714285</v>
      </c>
      <c r="CX99" s="24">
        <v>93.437504026400831</v>
      </c>
      <c r="CY99" s="25">
        <v>4.4285714285714288</v>
      </c>
      <c r="CZ99" s="20">
        <v>7</v>
      </c>
      <c r="DA99" s="24">
        <v>24.030952380952385</v>
      </c>
      <c r="DB99" s="24">
        <v>24.261904761904763</v>
      </c>
      <c r="DC99" s="24">
        <v>6.9119047619047631</v>
      </c>
      <c r="DD99" s="24">
        <v>7.2976190476190466</v>
      </c>
      <c r="DE99" s="24">
        <v>436</v>
      </c>
      <c r="DF99" s="24">
        <v>364.71428571428572</v>
      </c>
      <c r="DG99" s="24">
        <v>13.857142857142858</v>
      </c>
      <c r="DH99" s="24">
        <v>83.90285714285713</v>
      </c>
      <c r="DI99" s="24">
        <v>32.714285714285715</v>
      </c>
      <c r="DJ99" s="24">
        <v>84.4647180966641</v>
      </c>
      <c r="DK99" s="24">
        <v>92.849045006815984</v>
      </c>
      <c r="DL99" s="25">
        <v>86.43130710241887</v>
      </c>
      <c r="DM99" s="20">
        <v>8</v>
      </c>
      <c r="DN99" s="24">
        <v>23.020833333333329</v>
      </c>
      <c r="DO99" s="24">
        <v>23.447916666666661</v>
      </c>
      <c r="DP99" s="24">
        <v>7.3958333333333321</v>
      </c>
      <c r="DQ99" s="24">
        <v>502.5</v>
      </c>
      <c r="DR99" s="24">
        <v>469.625</v>
      </c>
      <c r="DS99" s="24">
        <v>25.625</v>
      </c>
      <c r="DT99" s="24">
        <v>93.366711791760977</v>
      </c>
      <c r="DU99" s="25">
        <v>7.25</v>
      </c>
      <c r="DV99" s="20">
        <v>8</v>
      </c>
      <c r="DW99" s="24">
        <v>23.302083333333332</v>
      </c>
      <c r="DX99" s="24">
        <v>24.097916666666666</v>
      </c>
      <c r="DY99" s="24">
        <v>8.2249999999999979</v>
      </c>
      <c r="DZ99" s="24">
        <v>8.5</v>
      </c>
      <c r="EA99" s="24">
        <v>551.875</v>
      </c>
      <c r="EB99" s="24">
        <v>425.375</v>
      </c>
      <c r="EC99" s="24">
        <v>425.375</v>
      </c>
      <c r="ED99" s="24">
        <v>76.748749999999987</v>
      </c>
      <c r="EE99" s="24">
        <v>62.25</v>
      </c>
      <c r="EF99" s="24">
        <v>78.479024138405919</v>
      </c>
      <c r="EG99" s="24">
        <v>84.256520789838731</v>
      </c>
      <c r="EH99" s="25">
        <v>86.799806627844433</v>
      </c>
      <c r="EI99" s="20">
        <v>6</v>
      </c>
      <c r="EJ99" s="24">
        <v>22.777777777777775</v>
      </c>
      <c r="EK99" s="24">
        <v>23.138888888888886</v>
      </c>
      <c r="EL99" s="24">
        <v>7.25</v>
      </c>
      <c r="EM99" s="24">
        <v>508.33333333333331</v>
      </c>
      <c r="EN99" s="24">
        <v>483.66666666666669</v>
      </c>
      <c r="EO99" s="24">
        <v>21.666666666666668</v>
      </c>
      <c r="EP99" s="24">
        <v>95.157902743502902</v>
      </c>
      <c r="EQ99" s="25">
        <v>3</v>
      </c>
      <c r="ER99" s="20">
        <v>4</v>
      </c>
      <c r="ES99" s="24">
        <v>22.562500000000004</v>
      </c>
      <c r="ET99" s="24">
        <v>23.370833333333334</v>
      </c>
      <c r="EU99" s="24">
        <v>7.020833333333333</v>
      </c>
      <c r="EV99" s="24">
        <v>7.1666666666666661</v>
      </c>
      <c r="EW99" s="24">
        <v>516.25</v>
      </c>
      <c r="EX99" s="24">
        <v>401.25</v>
      </c>
      <c r="EY99" s="24">
        <v>48.5</v>
      </c>
      <c r="EZ99" s="24">
        <v>77.765000000000001</v>
      </c>
      <c r="FA99" s="24">
        <v>57.75</v>
      </c>
      <c r="FB99" s="24">
        <v>79.048089653667844</v>
      </c>
      <c r="FC99" s="24">
        <v>86.95018312960589</v>
      </c>
      <c r="FD99" s="24">
        <v>86.306337684615613</v>
      </c>
    </row>
    <row r="100" spans="1:160" x14ac:dyDescent="0.25">
      <c r="A100">
        <v>6072</v>
      </c>
      <c r="B100">
        <v>1</v>
      </c>
      <c r="C100">
        <v>36</v>
      </c>
      <c r="D100" s="1">
        <v>1.75</v>
      </c>
      <c r="E100">
        <v>80</v>
      </c>
      <c r="F100">
        <v>26.12</v>
      </c>
      <c r="G100">
        <v>2</v>
      </c>
      <c r="H100">
        <v>18</v>
      </c>
      <c r="I100">
        <v>21</v>
      </c>
      <c r="J100">
        <v>1</v>
      </c>
      <c r="K100">
        <v>3</v>
      </c>
      <c r="L100">
        <v>3</v>
      </c>
      <c r="M100" s="1">
        <v>25.63</v>
      </c>
      <c r="O100" s="1">
        <v>22.5</v>
      </c>
      <c r="P100" s="1">
        <v>-3.13</v>
      </c>
      <c r="Q100" s="1">
        <v>26.89</v>
      </c>
      <c r="R100" s="1">
        <v>1.26</v>
      </c>
      <c r="S100" s="1">
        <v>21.5</v>
      </c>
      <c r="T100">
        <v>0</v>
      </c>
      <c r="U100">
        <v>2</v>
      </c>
      <c r="V100">
        <v>0</v>
      </c>
      <c r="W100">
        <v>5</v>
      </c>
      <c r="X100">
        <v>1</v>
      </c>
      <c r="Y100">
        <v>3</v>
      </c>
      <c r="Z100">
        <v>24</v>
      </c>
      <c r="AA100">
        <v>2</v>
      </c>
      <c r="AB100">
        <v>2</v>
      </c>
      <c r="AC100">
        <v>20</v>
      </c>
      <c r="AD100">
        <v>3</v>
      </c>
      <c r="AE100">
        <v>3</v>
      </c>
      <c r="AF100">
        <v>3</v>
      </c>
      <c r="AG100">
        <v>2</v>
      </c>
      <c r="AH100">
        <v>3</v>
      </c>
      <c r="AI100">
        <v>1</v>
      </c>
      <c r="AJ100">
        <v>3</v>
      </c>
      <c r="AK100">
        <v>1</v>
      </c>
      <c r="AL100">
        <v>16</v>
      </c>
      <c r="AM100">
        <v>2</v>
      </c>
      <c r="AN100">
        <v>10</v>
      </c>
      <c r="AO100">
        <v>10</v>
      </c>
      <c r="AP100">
        <v>2</v>
      </c>
      <c r="AQ100">
        <v>22</v>
      </c>
      <c r="AR100">
        <v>5</v>
      </c>
      <c r="AS100">
        <v>10</v>
      </c>
      <c r="AT100">
        <v>4</v>
      </c>
      <c r="AU100">
        <v>1</v>
      </c>
      <c r="AV100">
        <v>4</v>
      </c>
      <c r="AW100">
        <v>12</v>
      </c>
      <c r="AX100">
        <v>1</v>
      </c>
      <c r="AY100">
        <v>1</v>
      </c>
      <c r="AZ100">
        <v>21</v>
      </c>
      <c r="BA100">
        <v>3</v>
      </c>
      <c r="BB100">
        <v>3</v>
      </c>
      <c r="BC100">
        <v>3</v>
      </c>
      <c r="BD100">
        <v>1</v>
      </c>
      <c r="BE100">
        <v>3</v>
      </c>
      <c r="BF100">
        <v>1</v>
      </c>
      <c r="BG100">
        <v>0</v>
      </c>
      <c r="BH100">
        <v>2</v>
      </c>
      <c r="BI100">
        <v>13</v>
      </c>
      <c r="BJ100">
        <v>2</v>
      </c>
      <c r="BK100">
        <v>10</v>
      </c>
      <c r="BL100">
        <v>10</v>
      </c>
      <c r="BM100">
        <v>2</v>
      </c>
      <c r="BN100">
        <v>22</v>
      </c>
      <c r="BO100">
        <v>0</v>
      </c>
      <c r="BP100">
        <v>0</v>
      </c>
      <c r="BQ100">
        <v>4</v>
      </c>
      <c r="BR100">
        <v>2</v>
      </c>
      <c r="BS100">
        <v>2</v>
      </c>
      <c r="BT100">
        <v>4</v>
      </c>
      <c r="BU100">
        <v>2</v>
      </c>
      <c r="BV100">
        <v>2</v>
      </c>
      <c r="BW100">
        <v>6</v>
      </c>
      <c r="BX100">
        <v>2</v>
      </c>
      <c r="BY100">
        <v>2</v>
      </c>
      <c r="BZ100">
        <v>3</v>
      </c>
      <c r="CA100">
        <v>1</v>
      </c>
      <c r="CB100">
        <v>1</v>
      </c>
      <c r="CC100">
        <v>13</v>
      </c>
      <c r="CD100">
        <v>2</v>
      </c>
      <c r="CE100">
        <v>1</v>
      </c>
      <c r="CF100">
        <v>2</v>
      </c>
      <c r="CG100">
        <v>27</v>
      </c>
      <c r="CH100">
        <v>25</v>
      </c>
      <c r="CI100">
        <v>26</v>
      </c>
      <c r="CJ100">
        <v>31</v>
      </c>
      <c r="CK100">
        <v>30</v>
      </c>
      <c r="CL100">
        <v>30</v>
      </c>
      <c r="CM100">
        <v>19</v>
      </c>
      <c r="CN100">
        <v>26</v>
      </c>
      <c r="CO100">
        <v>19</v>
      </c>
      <c r="CP100" s="26">
        <v>15</v>
      </c>
      <c r="CQ100" s="20">
        <v>7</v>
      </c>
      <c r="CR100" s="24">
        <v>27.064285714285713</v>
      </c>
      <c r="CS100" s="24">
        <v>29.49285714285714</v>
      </c>
      <c r="CT100" s="24">
        <v>12.785714285714286</v>
      </c>
      <c r="CU100" s="24">
        <v>583.28571428571433</v>
      </c>
      <c r="CV100" s="24">
        <v>414.71428571428572</v>
      </c>
      <c r="CW100" s="24">
        <v>145.71428571428572</v>
      </c>
      <c r="CX100" s="24">
        <v>71.140801982338843</v>
      </c>
      <c r="CY100" s="25">
        <v>22.857142857142858</v>
      </c>
      <c r="CZ100" s="20">
        <v>7</v>
      </c>
      <c r="DA100" s="24">
        <v>26.892857142857142</v>
      </c>
      <c r="DB100" s="24">
        <v>27.199999999999996</v>
      </c>
      <c r="DC100" s="24">
        <v>12.664285714285715</v>
      </c>
      <c r="DD100" s="24">
        <v>12.785714285714286</v>
      </c>
      <c r="DE100" s="24">
        <v>593.57142857142856</v>
      </c>
      <c r="DF100" s="24">
        <v>487.85714285714283</v>
      </c>
      <c r="DG100" s="24">
        <v>18.428571428571427</v>
      </c>
      <c r="DH100" s="24">
        <v>81.825714285714298</v>
      </c>
      <c r="DI100" s="24">
        <v>80</v>
      </c>
      <c r="DJ100" s="24">
        <v>74.302375349473763</v>
      </c>
      <c r="DK100" s="24">
        <v>92.067942025889892</v>
      </c>
      <c r="DL100" s="25">
        <v>87.552227388224011</v>
      </c>
      <c r="DM100" s="20">
        <v>27</v>
      </c>
      <c r="DN100" s="24">
        <v>21.907407407407408</v>
      </c>
      <c r="DO100" s="24">
        <v>25.203703703703702</v>
      </c>
      <c r="DP100" s="24">
        <v>10.272435897435896</v>
      </c>
      <c r="DQ100" s="24">
        <v>740.96153846153845</v>
      </c>
      <c r="DR100" s="24">
        <v>551.31578947368416</v>
      </c>
      <c r="DS100" s="24">
        <v>205.38461538461539</v>
      </c>
      <c r="DT100" s="24">
        <v>76.856785130310598</v>
      </c>
      <c r="DU100" s="25">
        <v>17.894736842105264</v>
      </c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5"/>
      <c r="EI100" s="20">
        <v>25</v>
      </c>
      <c r="EJ100" s="24">
        <v>21.72</v>
      </c>
      <c r="EK100" s="24">
        <v>25.04</v>
      </c>
      <c r="EL100" s="24">
        <v>10.274305555555555</v>
      </c>
      <c r="EM100" s="24">
        <v>752.70833333333337</v>
      </c>
      <c r="EN100" s="24">
        <v>568.23529411764707</v>
      </c>
      <c r="EO100" s="24">
        <v>207.5</v>
      </c>
      <c r="EP100" s="24">
        <v>78.364032405558007</v>
      </c>
      <c r="EQ100" s="25">
        <v>18.529411764705884</v>
      </c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</row>
    <row r="101" spans="1:160" x14ac:dyDescent="0.25">
      <c r="A101">
        <v>6074</v>
      </c>
      <c r="B101">
        <v>2</v>
      </c>
      <c r="C101">
        <v>21</v>
      </c>
      <c r="D101" s="1">
        <v>1.6</v>
      </c>
      <c r="E101">
        <v>70</v>
      </c>
      <c r="F101">
        <v>27.3</v>
      </c>
      <c r="G101">
        <v>1</v>
      </c>
      <c r="H101">
        <v>14</v>
      </c>
      <c r="I101">
        <v>22</v>
      </c>
      <c r="J101">
        <v>1</v>
      </c>
      <c r="K101">
        <v>2</v>
      </c>
      <c r="L101">
        <v>3</v>
      </c>
      <c r="M101" s="1">
        <v>21.22</v>
      </c>
      <c r="O101" s="1">
        <v>22</v>
      </c>
      <c r="P101" s="1">
        <v>0.78</v>
      </c>
      <c r="Q101" s="1">
        <v>23.2</v>
      </c>
      <c r="R101" s="1">
        <v>1.98</v>
      </c>
      <c r="S101" s="1">
        <v>21</v>
      </c>
      <c r="T101">
        <v>0</v>
      </c>
      <c r="U101">
        <v>2</v>
      </c>
      <c r="V101">
        <v>0</v>
      </c>
      <c r="W101">
        <v>1</v>
      </c>
      <c r="X101">
        <v>1</v>
      </c>
      <c r="Y101">
        <v>18</v>
      </c>
      <c r="Z101">
        <v>11</v>
      </c>
      <c r="AA101">
        <v>1</v>
      </c>
      <c r="AB101">
        <v>1</v>
      </c>
      <c r="AC101">
        <v>17</v>
      </c>
      <c r="AD101">
        <v>3</v>
      </c>
      <c r="AE101">
        <v>2</v>
      </c>
      <c r="AF101">
        <v>3</v>
      </c>
      <c r="AG101">
        <v>1</v>
      </c>
      <c r="AH101">
        <v>3</v>
      </c>
      <c r="AI101">
        <v>1</v>
      </c>
      <c r="AJ101">
        <v>3</v>
      </c>
      <c r="AK101">
        <v>1</v>
      </c>
      <c r="AL101">
        <v>14</v>
      </c>
      <c r="AM101">
        <v>2</v>
      </c>
      <c r="AN101">
        <v>7</v>
      </c>
      <c r="AO101">
        <v>6</v>
      </c>
      <c r="AP101">
        <v>5</v>
      </c>
      <c r="AQ101">
        <v>18</v>
      </c>
      <c r="AR101">
        <v>4</v>
      </c>
      <c r="AS101">
        <v>15</v>
      </c>
      <c r="AT101">
        <v>3</v>
      </c>
      <c r="AU101">
        <v>1</v>
      </c>
      <c r="AV101">
        <v>12</v>
      </c>
      <c r="AW101">
        <v>9</v>
      </c>
      <c r="AX101">
        <v>1</v>
      </c>
      <c r="AY101">
        <v>1</v>
      </c>
      <c r="AZ101">
        <v>8</v>
      </c>
      <c r="BA101">
        <v>2</v>
      </c>
      <c r="BB101">
        <v>1</v>
      </c>
      <c r="BC101">
        <v>1</v>
      </c>
      <c r="BD101">
        <v>0</v>
      </c>
      <c r="BE101">
        <v>0</v>
      </c>
      <c r="BF101">
        <v>1</v>
      </c>
      <c r="BG101">
        <v>0</v>
      </c>
      <c r="BH101">
        <v>2</v>
      </c>
      <c r="BI101">
        <v>5</v>
      </c>
      <c r="BJ101">
        <v>1</v>
      </c>
      <c r="BK101">
        <v>7</v>
      </c>
      <c r="BL101">
        <v>6</v>
      </c>
      <c r="BM101">
        <v>6</v>
      </c>
      <c r="BN101">
        <v>19</v>
      </c>
      <c r="BO101">
        <v>0</v>
      </c>
      <c r="BP101">
        <v>6</v>
      </c>
      <c r="BQ101">
        <v>4</v>
      </c>
      <c r="BR101">
        <v>2</v>
      </c>
      <c r="BS101">
        <v>2</v>
      </c>
      <c r="BT101">
        <v>4</v>
      </c>
      <c r="BU101">
        <v>2</v>
      </c>
      <c r="BV101">
        <v>2</v>
      </c>
      <c r="BW101">
        <v>3</v>
      </c>
      <c r="BX101">
        <v>2</v>
      </c>
      <c r="BY101">
        <v>1</v>
      </c>
      <c r="BZ101">
        <v>2</v>
      </c>
      <c r="CA101">
        <v>2</v>
      </c>
      <c r="CB101">
        <v>2</v>
      </c>
      <c r="CC101">
        <v>10</v>
      </c>
      <c r="CD101">
        <v>5</v>
      </c>
      <c r="CE101">
        <v>2</v>
      </c>
      <c r="CF101">
        <v>1</v>
      </c>
      <c r="CG101">
        <v>23</v>
      </c>
      <c r="CH101">
        <v>24</v>
      </c>
      <c r="CI101">
        <v>25</v>
      </c>
      <c r="CJ101">
        <v>26</v>
      </c>
      <c r="CK101">
        <v>22</v>
      </c>
      <c r="CL101">
        <v>32</v>
      </c>
      <c r="CM101">
        <v>25</v>
      </c>
      <c r="CN101">
        <v>25</v>
      </c>
      <c r="CO101">
        <v>23</v>
      </c>
      <c r="CP101" s="26">
        <v>20</v>
      </c>
      <c r="CQ101" s="20">
        <v>7</v>
      </c>
      <c r="CR101" s="24">
        <v>23.202380952380953</v>
      </c>
      <c r="CS101" s="24">
        <v>24.36904761904762</v>
      </c>
      <c r="CT101" s="24">
        <v>8.5714285714285712</v>
      </c>
      <c r="CU101" s="24">
        <v>562.14285714285711</v>
      </c>
      <c r="CV101" s="24">
        <v>417.85714285714283</v>
      </c>
      <c r="CW101" s="24">
        <v>70</v>
      </c>
      <c r="CX101" s="24">
        <v>73.475364545844215</v>
      </c>
      <c r="CY101" s="25">
        <v>74.285714285714292</v>
      </c>
      <c r="CZ101" s="20">
        <v>7</v>
      </c>
      <c r="DA101" s="24">
        <v>23.202380952380953</v>
      </c>
      <c r="DB101" s="24">
        <v>23.647619047619049</v>
      </c>
      <c r="DC101" s="24">
        <v>8.3404761904761902</v>
      </c>
      <c r="DD101" s="24">
        <v>8.5714285714285712</v>
      </c>
      <c r="DE101" s="24">
        <v>562.14285714285711</v>
      </c>
      <c r="DF101" s="24">
        <v>460.57142857142856</v>
      </c>
      <c r="DG101" s="24">
        <v>26.714285714285715</v>
      </c>
      <c r="DH101" s="24">
        <v>81.830000000000013</v>
      </c>
      <c r="DI101" s="24">
        <v>61</v>
      </c>
      <c r="DJ101" s="24">
        <v>80.16238776828564</v>
      </c>
      <c r="DK101" s="24">
        <v>88.896690798527999</v>
      </c>
      <c r="DL101" s="25">
        <v>86.940332949609683</v>
      </c>
      <c r="DM101" s="20">
        <v>20</v>
      </c>
      <c r="DN101" s="24">
        <v>21.754166666666666</v>
      </c>
      <c r="DO101" s="24">
        <v>22.133333333333336</v>
      </c>
      <c r="DP101" s="24">
        <v>6.50416666666667</v>
      </c>
      <c r="DQ101" s="24">
        <v>525</v>
      </c>
      <c r="DR101" s="24">
        <v>501.21052631578948</v>
      </c>
      <c r="DS101" s="24">
        <v>23.526315789473685</v>
      </c>
      <c r="DT101" s="24">
        <v>95.099839103437162</v>
      </c>
      <c r="DU101" s="25">
        <v>2.1052631578947367</v>
      </c>
      <c r="DV101" s="20">
        <v>20</v>
      </c>
      <c r="DW101" s="24">
        <v>22.004166666666666</v>
      </c>
      <c r="DX101" s="24">
        <v>22.479166666666668</v>
      </c>
      <c r="DY101" s="24">
        <v>6.1141666666666676</v>
      </c>
      <c r="DZ101" s="24">
        <v>6.3000000000000034</v>
      </c>
      <c r="EA101" s="24">
        <v>497.75</v>
      </c>
      <c r="EB101" s="24">
        <v>414.8</v>
      </c>
      <c r="EC101" s="24">
        <v>414.8</v>
      </c>
      <c r="ED101" s="24">
        <v>83.326499999999996</v>
      </c>
      <c r="EE101" s="24">
        <v>43.3</v>
      </c>
      <c r="EF101" s="24">
        <v>81.941839022437264</v>
      </c>
      <c r="EG101" s="24">
        <v>89.826409711135568</v>
      </c>
      <c r="EH101" s="25">
        <v>89.158780405046258</v>
      </c>
      <c r="EI101" s="20">
        <v>19</v>
      </c>
      <c r="EJ101" s="24">
        <v>21.793859649122805</v>
      </c>
      <c r="EK101" s="24">
        <v>22.18981481481482</v>
      </c>
      <c r="EL101" s="24">
        <v>6.5219298245614068</v>
      </c>
      <c r="EM101" s="24">
        <v>523.68421052631584</v>
      </c>
      <c r="EN101" s="24">
        <v>498.88888888888891</v>
      </c>
      <c r="EO101" s="24">
        <v>24.444444444444443</v>
      </c>
      <c r="EP101" s="24">
        <v>94.898315013224078</v>
      </c>
      <c r="EQ101" s="25">
        <v>2.2222222222222223</v>
      </c>
      <c r="ER101" s="20">
        <v>20</v>
      </c>
      <c r="ES101" s="24">
        <v>22.004166666666666</v>
      </c>
      <c r="ET101" s="24">
        <v>22.479166666666668</v>
      </c>
      <c r="EU101" s="24">
        <v>6.1141666666666676</v>
      </c>
      <c r="EV101" s="24">
        <v>6.3000000000000034</v>
      </c>
      <c r="EW101" s="24">
        <v>497.75</v>
      </c>
      <c r="EX101" s="24">
        <v>414.8</v>
      </c>
      <c r="EY101" s="24">
        <v>28.5</v>
      </c>
      <c r="EZ101" s="24">
        <v>83.326499999999996</v>
      </c>
      <c r="FA101" s="24">
        <v>43.3</v>
      </c>
      <c r="FB101" s="24">
        <v>81.941839022437264</v>
      </c>
      <c r="FC101" s="24">
        <v>89.826409711135568</v>
      </c>
      <c r="FD101" s="24">
        <v>89.158780405046258</v>
      </c>
    </row>
    <row r="102" spans="1:160" x14ac:dyDescent="0.25">
      <c r="A102">
        <v>6082</v>
      </c>
      <c r="B102">
        <v>2</v>
      </c>
      <c r="C102">
        <v>39</v>
      </c>
      <c r="D102" s="1">
        <v>1.63</v>
      </c>
      <c r="E102">
        <v>68</v>
      </c>
      <c r="F102">
        <v>25.59</v>
      </c>
      <c r="G102">
        <v>2</v>
      </c>
      <c r="H102">
        <v>10</v>
      </c>
      <c r="I102">
        <v>25</v>
      </c>
      <c r="J102">
        <v>2</v>
      </c>
      <c r="K102">
        <v>2</v>
      </c>
      <c r="L102">
        <v>3</v>
      </c>
      <c r="M102" s="1">
        <v>21.9</v>
      </c>
      <c r="O102" s="1">
        <v>22</v>
      </c>
      <c r="P102" s="1">
        <v>0.1</v>
      </c>
      <c r="Q102" s="1">
        <v>23.869999999999997</v>
      </c>
      <c r="R102" s="1">
        <v>1.97</v>
      </c>
      <c r="S102" s="1">
        <v>21</v>
      </c>
      <c r="T102">
        <v>0</v>
      </c>
      <c r="U102">
        <v>2</v>
      </c>
      <c r="V102">
        <v>0</v>
      </c>
      <c r="W102">
        <v>15</v>
      </c>
      <c r="X102">
        <v>2</v>
      </c>
      <c r="AT102">
        <v>7</v>
      </c>
      <c r="AU102">
        <v>1</v>
      </c>
      <c r="AV102">
        <v>14</v>
      </c>
      <c r="AW102">
        <v>8</v>
      </c>
      <c r="AX102">
        <v>1</v>
      </c>
      <c r="AY102">
        <v>1</v>
      </c>
      <c r="AZ102">
        <v>7</v>
      </c>
      <c r="BA102">
        <v>1</v>
      </c>
      <c r="BB102">
        <v>0</v>
      </c>
      <c r="BC102">
        <v>1</v>
      </c>
      <c r="BD102">
        <v>0</v>
      </c>
      <c r="BE102">
        <v>0</v>
      </c>
      <c r="BF102">
        <v>1</v>
      </c>
      <c r="BG102">
        <v>3</v>
      </c>
      <c r="BH102">
        <v>2</v>
      </c>
      <c r="BI102">
        <v>7</v>
      </c>
      <c r="BJ102">
        <v>2</v>
      </c>
      <c r="BK102">
        <v>3</v>
      </c>
      <c r="BL102">
        <v>2</v>
      </c>
      <c r="BM102">
        <v>3</v>
      </c>
      <c r="BN102">
        <v>8</v>
      </c>
      <c r="BO102">
        <v>1</v>
      </c>
      <c r="BP102">
        <v>8</v>
      </c>
      <c r="BQ102">
        <v>4</v>
      </c>
      <c r="BR102">
        <v>2</v>
      </c>
      <c r="BS102">
        <v>2</v>
      </c>
      <c r="BT102">
        <v>1</v>
      </c>
      <c r="BU102">
        <v>1</v>
      </c>
      <c r="BV102">
        <v>1</v>
      </c>
      <c r="BW102">
        <v>2</v>
      </c>
      <c r="BX102">
        <v>1</v>
      </c>
      <c r="BY102">
        <v>1</v>
      </c>
      <c r="BZ102">
        <v>1</v>
      </c>
      <c r="CA102">
        <v>4</v>
      </c>
      <c r="CB102">
        <v>2</v>
      </c>
      <c r="CC102">
        <v>2</v>
      </c>
      <c r="CD102">
        <v>6</v>
      </c>
      <c r="CE102">
        <v>2</v>
      </c>
      <c r="CF102">
        <v>2</v>
      </c>
      <c r="CG102">
        <v>19</v>
      </c>
      <c r="CH102">
        <v>23</v>
      </c>
      <c r="CI102">
        <v>16</v>
      </c>
      <c r="CJ102">
        <v>10</v>
      </c>
      <c r="CK102">
        <v>14</v>
      </c>
      <c r="CL102">
        <v>30</v>
      </c>
      <c r="CM102">
        <v>10</v>
      </c>
      <c r="CN102">
        <v>11</v>
      </c>
      <c r="CO102">
        <v>12</v>
      </c>
      <c r="CP102" s="26">
        <v>11</v>
      </c>
      <c r="CQ102" s="20">
        <v>7</v>
      </c>
      <c r="CR102" s="24">
        <v>23.869047619047617</v>
      </c>
      <c r="CS102" s="24">
        <v>24.107142857142858</v>
      </c>
      <c r="CT102" s="24">
        <v>6.5476190476190483</v>
      </c>
      <c r="CU102" s="24">
        <v>400.71428571428572</v>
      </c>
      <c r="CV102" s="24">
        <v>385.71428571428572</v>
      </c>
      <c r="CW102" s="24">
        <v>14.285714285714286</v>
      </c>
      <c r="CX102" s="24">
        <v>96.172917241499775</v>
      </c>
      <c r="CY102" s="25">
        <v>0.7142857142857143</v>
      </c>
      <c r="CZ102" s="20">
        <v>7</v>
      </c>
      <c r="DA102" s="24">
        <v>23.869047619047617</v>
      </c>
      <c r="DB102" s="24">
        <v>23.976190476190478</v>
      </c>
      <c r="DC102" s="24">
        <v>6.4761904761904763</v>
      </c>
      <c r="DD102" s="24">
        <v>6.5476190476190483</v>
      </c>
      <c r="DE102" s="24">
        <v>400.71428571428572</v>
      </c>
      <c r="DF102" s="24">
        <v>368.57142857142856</v>
      </c>
      <c r="DG102" s="24">
        <v>6.4285714285714288</v>
      </c>
      <c r="DH102" s="24">
        <v>92.267142857142844</v>
      </c>
      <c r="DI102" s="24">
        <v>21.428571428571427</v>
      </c>
      <c r="DJ102" s="24">
        <v>92.79062697769038</v>
      </c>
      <c r="DK102" s="24">
        <v>95.158759136650289</v>
      </c>
      <c r="DL102" s="25">
        <v>91.999414728706796</v>
      </c>
      <c r="DM102" s="20">
        <v>19</v>
      </c>
      <c r="DN102" s="24">
        <v>22.323684210526316</v>
      </c>
      <c r="DO102" s="24">
        <v>22.49298245614035</v>
      </c>
      <c r="DP102" s="24">
        <v>6.458333333333333</v>
      </c>
      <c r="DQ102" s="24">
        <v>487.83333333333331</v>
      </c>
      <c r="DR102" s="24">
        <v>474.33333333333331</v>
      </c>
      <c r="DS102" s="24">
        <v>10.157894736842104</v>
      </c>
      <c r="DT102" s="24">
        <v>97.21027803764602</v>
      </c>
      <c r="DU102" s="25">
        <v>3.6111111111111112</v>
      </c>
      <c r="DV102" s="20">
        <v>19</v>
      </c>
      <c r="DW102" s="24">
        <v>22.390625</v>
      </c>
      <c r="DX102" s="24">
        <v>22.719791666666669</v>
      </c>
      <c r="DY102" s="24">
        <v>7.1572916666666675</v>
      </c>
      <c r="DZ102" s="24">
        <v>7.255208333333333</v>
      </c>
      <c r="EA102" s="24">
        <v>531.875</v>
      </c>
      <c r="EB102" s="24">
        <v>469.25</v>
      </c>
      <c r="EC102" s="24">
        <v>469.25</v>
      </c>
      <c r="ED102" s="24">
        <v>88.316249999999982</v>
      </c>
      <c r="EE102" s="24">
        <v>37</v>
      </c>
      <c r="EF102" s="24">
        <v>87.329533297716594</v>
      </c>
      <c r="EG102" s="24">
        <v>92.562493329305141</v>
      </c>
      <c r="EH102" s="25">
        <v>92.105080789181187</v>
      </c>
      <c r="EI102" s="20">
        <v>19</v>
      </c>
      <c r="EJ102" s="24">
        <v>22.323684210526316</v>
      </c>
      <c r="EK102" s="24">
        <v>22.49298245614035</v>
      </c>
      <c r="EL102" s="24">
        <v>6.458333333333333</v>
      </c>
      <c r="EM102" s="24">
        <v>487.83333333333331</v>
      </c>
      <c r="EN102" s="24">
        <v>474.33333333333331</v>
      </c>
      <c r="EO102" s="24">
        <v>10.157894736842104</v>
      </c>
      <c r="EP102" s="24">
        <v>97.21027803764602</v>
      </c>
      <c r="EQ102" s="25">
        <v>3.6111111111111112</v>
      </c>
      <c r="ER102" s="20">
        <v>16</v>
      </c>
      <c r="ES102" s="24">
        <v>22.390625</v>
      </c>
      <c r="ET102" s="24">
        <v>22.719791666666669</v>
      </c>
      <c r="EU102" s="24">
        <v>7.1572916666666675</v>
      </c>
      <c r="EV102" s="24">
        <v>7.255208333333333</v>
      </c>
      <c r="EW102" s="24">
        <v>531.875</v>
      </c>
      <c r="EX102" s="24">
        <v>469.25</v>
      </c>
      <c r="EY102" s="24">
        <v>19.75</v>
      </c>
      <c r="EZ102" s="24">
        <v>88.316249999999982</v>
      </c>
      <c r="FA102" s="24">
        <v>37</v>
      </c>
      <c r="FB102" s="24">
        <v>87.329533297716594</v>
      </c>
      <c r="FC102" s="24">
        <v>92.562493329305141</v>
      </c>
      <c r="FD102" s="24">
        <v>92.105080789181187</v>
      </c>
    </row>
    <row r="103" spans="1:160" x14ac:dyDescent="0.25">
      <c r="A103">
        <v>6088</v>
      </c>
      <c r="B103">
        <v>1</v>
      </c>
      <c r="C103">
        <v>17</v>
      </c>
      <c r="D103" s="1">
        <v>1.77</v>
      </c>
      <c r="E103">
        <v>72</v>
      </c>
      <c r="F103">
        <v>22.98</v>
      </c>
      <c r="G103">
        <v>2</v>
      </c>
      <c r="H103">
        <v>12</v>
      </c>
      <c r="I103">
        <v>24</v>
      </c>
      <c r="J103">
        <v>2</v>
      </c>
      <c r="K103">
        <v>1</v>
      </c>
      <c r="L103">
        <v>3</v>
      </c>
      <c r="M103" s="1">
        <v>23.28</v>
      </c>
      <c r="O103" s="1">
        <v>23</v>
      </c>
      <c r="P103" s="1">
        <v>-0.28000000000000003</v>
      </c>
      <c r="Q103" s="1">
        <v>24.98</v>
      </c>
      <c r="R103" s="1">
        <v>1.7</v>
      </c>
      <c r="S103" s="1">
        <v>22</v>
      </c>
      <c r="T103">
        <v>2</v>
      </c>
      <c r="U103">
        <v>2</v>
      </c>
      <c r="V103">
        <v>0</v>
      </c>
      <c r="W103">
        <v>5</v>
      </c>
      <c r="X103">
        <v>1</v>
      </c>
      <c r="Y103">
        <v>5</v>
      </c>
      <c r="Z103">
        <v>5</v>
      </c>
      <c r="AA103">
        <v>1</v>
      </c>
      <c r="AB103">
        <v>1</v>
      </c>
      <c r="AC103">
        <v>6</v>
      </c>
      <c r="AD103">
        <v>1</v>
      </c>
      <c r="AE103">
        <v>2</v>
      </c>
      <c r="AF103">
        <v>2</v>
      </c>
      <c r="AG103">
        <v>1</v>
      </c>
      <c r="AH103">
        <v>1</v>
      </c>
      <c r="AI103">
        <v>1</v>
      </c>
      <c r="AJ103">
        <v>0</v>
      </c>
      <c r="AK103">
        <v>1</v>
      </c>
      <c r="AL103">
        <v>8</v>
      </c>
      <c r="AM103">
        <v>2</v>
      </c>
      <c r="AN103">
        <v>5</v>
      </c>
      <c r="AO103">
        <v>2</v>
      </c>
      <c r="AP103">
        <v>5</v>
      </c>
      <c r="AQ103">
        <v>12</v>
      </c>
      <c r="AR103">
        <v>2</v>
      </c>
      <c r="AS103">
        <v>6</v>
      </c>
      <c r="AT103">
        <v>1</v>
      </c>
      <c r="AU103">
        <v>1</v>
      </c>
      <c r="AV103">
        <v>4</v>
      </c>
      <c r="AW103">
        <v>3</v>
      </c>
      <c r="AX103">
        <v>1</v>
      </c>
      <c r="AY103">
        <v>1</v>
      </c>
      <c r="AZ103">
        <v>5</v>
      </c>
      <c r="BA103">
        <v>1</v>
      </c>
      <c r="BB103">
        <v>1</v>
      </c>
      <c r="BC103">
        <v>2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7</v>
      </c>
      <c r="BJ103">
        <v>2</v>
      </c>
      <c r="BK103">
        <v>5</v>
      </c>
      <c r="BL103">
        <v>3</v>
      </c>
      <c r="BM103">
        <v>3</v>
      </c>
      <c r="BN103">
        <v>11</v>
      </c>
      <c r="BO103">
        <v>0</v>
      </c>
      <c r="BP103">
        <v>2</v>
      </c>
      <c r="BQ103">
        <v>3</v>
      </c>
      <c r="BR103">
        <v>2</v>
      </c>
      <c r="BS103">
        <v>1</v>
      </c>
      <c r="BT103">
        <v>3</v>
      </c>
      <c r="BU103">
        <v>2</v>
      </c>
      <c r="BV103">
        <v>1</v>
      </c>
      <c r="BW103">
        <v>3</v>
      </c>
      <c r="BX103">
        <v>2</v>
      </c>
      <c r="BY103">
        <v>1</v>
      </c>
      <c r="BZ103">
        <v>2</v>
      </c>
      <c r="CA103">
        <v>2</v>
      </c>
      <c r="CB103">
        <v>1</v>
      </c>
      <c r="CC103">
        <v>9</v>
      </c>
      <c r="CD103">
        <v>3</v>
      </c>
      <c r="CE103">
        <v>1</v>
      </c>
      <c r="CF103">
        <v>2</v>
      </c>
      <c r="CG103">
        <v>25</v>
      </c>
      <c r="CH103">
        <v>22</v>
      </c>
      <c r="CI103">
        <v>21</v>
      </c>
      <c r="CJ103">
        <v>21</v>
      </c>
      <c r="CK103">
        <v>21</v>
      </c>
      <c r="CL103">
        <v>30</v>
      </c>
      <c r="CM103">
        <v>23</v>
      </c>
      <c r="CN103">
        <v>17</v>
      </c>
      <c r="CO103">
        <v>13</v>
      </c>
      <c r="CP103" s="26">
        <v>14</v>
      </c>
      <c r="CQ103" s="20">
        <v>7</v>
      </c>
      <c r="CR103" s="24">
        <v>24.833333333333332</v>
      </c>
      <c r="CS103" s="24">
        <v>25.440476190476186</v>
      </c>
      <c r="CT103" s="24">
        <v>8.9404761904761898</v>
      </c>
      <c r="CU103" s="24">
        <v>486.42857142857144</v>
      </c>
      <c r="CV103" s="24">
        <v>444.28571428571428</v>
      </c>
      <c r="CW103" s="24">
        <v>36.428571428571431</v>
      </c>
      <c r="CX103" s="24">
        <v>91.092798300990879</v>
      </c>
      <c r="CY103" s="25">
        <v>5.7142857142857144</v>
      </c>
      <c r="CZ103" s="20">
        <v>7</v>
      </c>
      <c r="DA103" s="24">
        <v>24.976190476190474</v>
      </c>
      <c r="DB103" s="24">
        <v>25.13095238095238</v>
      </c>
      <c r="DC103" s="24">
        <v>8.2547619047619047</v>
      </c>
      <c r="DD103" s="24">
        <v>8.9404761904761898</v>
      </c>
      <c r="DE103" s="24">
        <v>477.85714285714283</v>
      </c>
      <c r="DF103" s="24">
        <v>396.14285714285717</v>
      </c>
      <c r="DG103" s="24">
        <v>9.2857142857142865</v>
      </c>
      <c r="DH103" s="24">
        <v>82.54</v>
      </c>
      <c r="DI103" s="24">
        <v>31.285714285714285</v>
      </c>
      <c r="DJ103" s="24">
        <v>89.781480744270581</v>
      </c>
      <c r="DK103" s="24">
        <v>93.103225789223259</v>
      </c>
      <c r="DL103" s="25">
        <v>73.094427608959322</v>
      </c>
      <c r="DM103" s="20">
        <v>20</v>
      </c>
      <c r="DN103" s="24">
        <v>24.078947368421051</v>
      </c>
      <c r="DO103" s="24">
        <v>24.412280701754383</v>
      </c>
      <c r="DP103" s="24">
        <v>8.8464912280701764</v>
      </c>
      <c r="DQ103" s="24">
        <v>526.0526315789474</v>
      </c>
      <c r="DR103" s="24">
        <v>497.10526315789474</v>
      </c>
      <c r="DS103" s="24">
        <v>20</v>
      </c>
      <c r="DT103" s="24">
        <v>93.969106231699655</v>
      </c>
      <c r="DU103" s="25">
        <v>8.9473684210526319</v>
      </c>
      <c r="DV103" s="20">
        <v>20</v>
      </c>
      <c r="DW103" s="24">
        <v>22.491666666666667</v>
      </c>
      <c r="DX103" s="24">
        <v>22.618333333333332</v>
      </c>
      <c r="DY103" s="24">
        <v>6.8158333333333347</v>
      </c>
      <c r="DZ103" s="24">
        <v>7.3833333333333346</v>
      </c>
      <c r="EA103" s="24">
        <v>533.5</v>
      </c>
      <c r="EB103" s="24">
        <v>432.15</v>
      </c>
      <c r="EC103" s="24">
        <v>432.15</v>
      </c>
      <c r="ED103" s="24">
        <v>81.036500000000004</v>
      </c>
      <c r="EE103" s="24">
        <v>59.7</v>
      </c>
      <c r="EF103" s="24">
        <v>85.321125670022695</v>
      </c>
      <c r="EG103" s="24">
        <v>90.282619401294099</v>
      </c>
      <c r="EH103" s="25">
        <v>75.297474550956181</v>
      </c>
      <c r="EI103" s="20">
        <v>12</v>
      </c>
      <c r="EJ103" s="24">
        <v>23.111111111111114</v>
      </c>
      <c r="EK103" s="24">
        <v>23.4375</v>
      </c>
      <c r="EL103" s="24">
        <v>8.6527777777777786</v>
      </c>
      <c r="EM103" s="24">
        <v>572.5</v>
      </c>
      <c r="EN103" s="24">
        <v>541.66666666666663</v>
      </c>
      <c r="EO103" s="24">
        <v>19.583333333333332</v>
      </c>
      <c r="EP103" s="24">
        <v>94.468490130889847</v>
      </c>
      <c r="EQ103" s="25">
        <v>11.25</v>
      </c>
      <c r="ER103" s="20">
        <v>13</v>
      </c>
      <c r="ES103" s="24">
        <v>22.942307692307693</v>
      </c>
      <c r="ET103" s="24">
        <v>23.007692307692306</v>
      </c>
      <c r="EU103" s="24">
        <v>6.6269230769230774</v>
      </c>
      <c r="EV103" s="24">
        <v>7.2051282051282053</v>
      </c>
      <c r="EW103" s="24">
        <v>495.76923076923077</v>
      </c>
      <c r="EX103" s="24">
        <v>403.92307692307691</v>
      </c>
      <c r="EY103" s="24">
        <v>3.9230769230769229</v>
      </c>
      <c r="EZ103" s="24">
        <v>81.32692307692308</v>
      </c>
      <c r="FA103" s="24">
        <v>53.230769230769234</v>
      </c>
      <c r="FB103" s="24">
        <v>87.054030883697408</v>
      </c>
      <c r="FC103" s="24">
        <v>89.935225855984299</v>
      </c>
      <c r="FD103" s="24">
        <v>74.229217011745135</v>
      </c>
    </row>
    <row r="104" spans="1:160" x14ac:dyDescent="0.25">
      <c r="A104">
        <v>6094</v>
      </c>
      <c r="B104">
        <v>2</v>
      </c>
      <c r="C104">
        <v>46</v>
      </c>
      <c r="D104" s="1">
        <v>1.85</v>
      </c>
      <c r="E104">
        <v>95</v>
      </c>
      <c r="F104">
        <v>27.76</v>
      </c>
      <c r="G104">
        <v>1</v>
      </c>
      <c r="H104">
        <v>11</v>
      </c>
      <c r="I104">
        <v>22</v>
      </c>
      <c r="J104">
        <v>1</v>
      </c>
      <c r="K104">
        <v>1</v>
      </c>
      <c r="L104">
        <v>3</v>
      </c>
      <c r="M104" s="1">
        <v>21.28</v>
      </c>
      <c r="O104" s="1">
        <v>21</v>
      </c>
      <c r="P104" s="1">
        <v>-0.28000000000000003</v>
      </c>
      <c r="Q104" s="1">
        <v>23.01</v>
      </c>
      <c r="R104" s="1">
        <v>1.73</v>
      </c>
      <c r="S104" s="1">
        <v>20</v>
      </c>
      <c r="T104">
        <v>2</v>
      </c>
      <c r="U104">
        <v>2</v>
      </c>
      <c r="V104">
        <v>0</v>
      </c>
      <c r="W104">
        <v>3</v>
      </c>
      <c r="X104">
        <v>1</v>
      </c>
      <c r="Y104">
        <v>7</v>
      </c>
      <c r="Z104">
        <v>9</v>
      </c>
      <c r="AA104">
        <v>1</v>
      </c>
      <c r="AB104">
        <v>1</v>
      </c>
      <c r="AC104">
        <v>15</v>
      </c>
      <c r="AD104">
        <v>3</v>
      </c>
      <c r="AE104">
        <v>2</v>
      </c>
      <c r="AF104">
        <v>3</v>
      </c>
      <c r="AG104">
        <v>1</v>
      </c>
      <c r="AH104">
        <v>1</v>
      </c>
      <c r="AI104">
        <v>1</v>
      </c>
      <c r="AJ104">
        <v>3</v>
      </c>
      <c r="AK104">
        <v>1</v>
      </c>
      <c r="AL104">
        <v>12</v>
      </c>
      <c r="AM104">
        <v>2</v>
      </c>
      <c r="AN104">
        <v>7</v>
      </c>
      <c r="AO104">
        <v>5</v>
      </c>
      <c r="AP104">
        <v>5</v>
      </c>
      <c r="AQ104">
        <v>17</v>
      </c>
      <c r="AR104">
        <v>2</v>
      </c>
      <c r="AS104">
        <v>15</v>
      </c>
      <c r="AT104">
        <v>1</v>
      </c>
      <c r="AU104">
        <v>1</v>
      </c>
      <c r="AV104">
        <v>3</v>
      </c>
      <c r="AW104">
        <v>5</v>
      </c>
      <c r="AX104">
        <v>1</v>
      </c>
      <c r="AY104">
        <v>1</v>
      </c>
      <c r="AZ104">
        <v>8</v>
      </c>
      <c r="BA104">
        <v>2</v>
      </c>
      <c r="BB104">
        <v>1</v>
      </c>
      <c r="BC104">
        <v>3</v>
      </c>
      <c r="BD104">
        <v>1</v>
      </c>
      <c r="BE104">
        <v>2</v>
      </c>
      <c r="BF104">
        <v>1</v>
      </c>
      <c r="BG104">
        <v>3</v>
      </c>
      <c r="BH104">
        <v>1</v>
      </c>
      <c r="BI104">
        <v>12</v>
      </c>
      <c r="BJ104">
        <v>2</v>
      </c>
      <c r="BK104">
        <v>4</v>
      </c>
      <c r="BL104">
        <v>6</v>
      </c>
      <c r="BM104">
        <v>7</v>
      </c>
      <c r="BN104">
        <v>17</v>
      </c>
      <c r="BO104">
        <v>5</v>
      </c>
      <c r="BP104">
        <v>20</v>
      </c>
      <c r="BQ104">
        <v>3</v>
      </c>
      <c r="BR104">
        <v>2</v>
      </c>
      <c r="BS104">
        <v>1</v>
      </c>
      <c r="BT104">
        <v>1</v>
      </c>
      <c r="BU104">
        <v>1</v>
      </c>
      <c r="BV104">
        <v>1</v>
      </c>
      <c r="BW104">
        <v>2</v>
      </c>
      <c r="BX104">
        <v>1</v>
      </c>
      <c r="BY104">
        <v>1</v>
      </c>
      <c r="BZ104">
        <v>1</v>
      </c>
      <c r="CA104">
        <v>4</v>
      </c>
      <c r="CB104">
        <v>1</v>
      </c>
      <c r="CC104">
        <v>1</v>
      </c>
      <c r="CD104">
        <v>6</v>
      </c>
      <c r="CE104">
        <v>2</v>
      </c>
      <c r="CF104">
        <v>1</v>
      </c>
      <c r="CG104">
        <v>32</v>
      </c>
      <c r="CH104">
        <v>9.5</v>
      </c>
      <c r="CI104">
        <v>13</v>
      </c>
      <c r="CJ104">
        <v>16</v>
      </c>
      <c r="CK104">
        <v>16</v>
      </c>
      <c r="CL104">
        <v>21</v>
      </c>
      <c r="CM104">
        <v>11</v>
      </c>
      <c r="CN104">
        <v>9</v>
      </c>
      <c r="CO104">
        <v>4</v>
      </c>
      <c r="CP104" s="26">
        <v>4</v>
      </c>
      <c r="CQ104" s="20">
        <v>7</v>
      </c>
      <c r="CR104" s="24">
        <v>23.011904761904759</v>
      </c>
      <c r="CS104" s="24">
        <v>24.416666666666664</v>
      </c>
      <c r="CT104" s="24">
        <v>7.5357142857142856</v>
      </c>
      <c r="CU104" s="24">
        <v>511.42857142857144</v>
      </c>
      <c r="CV104" s="24">
        <v>368.57142857142856</v>
      </c>
      <c r="CW104" s="24">
        <v>84.285714285714292</v>
      </c>
      <c r="CX104" s="24">
        <v>72.339454290492327</v>
      </c>
      <c r="CY104" s="25">
        <v>58.571428571428569</v>
      </c>
      <c r="CZ104" s="20">
        <v>7</v>
      </c>
      <c r="DA104" s="24">
        <v>23.011904761904759</v>
      </c>
      <c r="DB104" s="24">
        <v>23.523809523809526</v>
      </c>
      <c r="DC104" s="24">
        <v>7.3714285714285719</v>
      </c>
      <c r="DD104" s="24">
        <v>7.5357142857142856</v>
      </c>
      <c r="DE104" s="24">
        <v>511.42857142857144</v>
      </c>
      <c r="DF104" s="24">
        <v>419</v>
      </c>
      <c r="DG104" s="24">
        <v>30.714285714285715</v>
      </c>
      <c r="DH104" s="24">
        <v>82.028571428571439</v>
      </c>
      <c r="DI104" s="24">
        <v>51.857142857142854</v>
      </c>
      <c r="DJ104" s="24">
        <v>82.120708772404825</v>
      </c>
      <c r="DK104" s="24">
        <v>85.955063634097158</v>
      </c>
      <c r="DL104" s="25">
        <v>89.576866131018306</v>
      </c>
      <c r="DM104" s="20">
        <v>28</v>
      </c>
      <c r="DN104" s="24">
        <v>21.108974358974358</v>
      </c>
      <c r="DO104" s="24">
        <v>22.782051282051285</v>
      </c>
      <c r="DP104" s="24">
        <v>6.8461538461538458</v>
      </c>
      <c r="DQ104" s="24">
        <v>581.20000000000005</v>
      </c>
      <c r="DR104" s="24">
        <v>479.44444444444446</v>
      </c>
      <c r="DS104" s="24">
        <v>108.75</v>
      </c>
      <c r="DT104" s="24">
        <v>80.643115220154712</v>
      </c>
      <c r="DU104" s="25">
        <v>26.111111111111111</v>
      </c>
      <c r="DV104" s="20">
        <v>28</v>
      </c>
      <c r="DW104" s="24">
        <v>21.180555555555557</v>
      </c>
      <c r="DX104" s="24">
        <v>21.865972222222226</v>
      </c>
      <c r="DY104" s="24">
        <v>6.8652777777777763</v>
      </c>
      <c r="DZ104" s="24">
        <v>7.0277777777777786</v>
      </c>
      <c r="EA104" s="24">
        <v>590.83333333333337</v>
      </c>
      <c r="EB104" s="24">
        <v>466.58333333333331</v>
      </c>
      <c r="EC104" s="24">
        <v>466.58333333333331</v>
      </c>
      <c r="ED104" s="24">
        <v>79.219166666666666</v>
      </c>
      <c r="EE104" s="24">
        <v>72.25</v>
      </c>
      <c r="EF104" s="24">
        <v>73.276815465117778</v>
      </c>
      <c r="EG104" s="24">
        <v>90.381784884275447</v>
      </c>
      <c r="EH104" s="25">
        <v>88.189918408492403</v>
      </c>
      <c r="EI104" s="20">
        <v>24</v>
      </c>
      <c r="EJ104" s="24">
        <v>21.097222222222225</v>
      </c>
      <c r="EK104" s="24">
        <v>22.743055555555557</v>
      </c>
      <c r="EL104" s="24">
        <v>6.8260869565217392</v>
      </c>
      <c r="EM104" s="24">
        <v>580.86956521739125</v>
      </c>
      <c r="EN104" s="24">
        <v>479.44444444444446</v>
      </c>
      <c r="EO104" s="24">
        <v>103.04347826086956</v>
      </c>
      <c r="EP104" s="24">
        <v>80.643115220154712</v>
      </c>
      <c r="EQ104" s="25">
        <v>26.111111111111111</v>
      </c>
      <c r="ER104" s="20">
        <v>22</v>
      </c>
      <c r="ES104" s="24">
        <v>21.128787878787879</v>
      </c>
      <c r="ET104" s="24">
        <v>21.830303030303035</v>
      </c>
      <c r="EU104" s="24">
        <v>6.7575757575757569</v>
      </c>
      <c r="EV104" s="24">
        <v>6.9166666666666679</v>
      </c>
      <c r="EW104" s="24">
        <v>587.27272727272725</v>
      </c>
      <c r="EX104" s="24">
        <v>465.18181818181819</v>
      </c>
      <c r="EY104" s="24">
        <v>42.090909090909093</v>
      </c>
      <c r="EZ104" s="24">
        <v>79.438636363636363</v>
      </c>
      <c r="FA104" s="24">
        <v>69.227272727272734</v>
      </c>
      <c r="FB104" s="24">
        <v>75.238587920720448</v>
      </c>
      <c r="FC104" s="24">
        <v>90.342690645430267</v>
      </c>
      <c r="FD104" s="24">
        <v>88.093001158432543</v>
      </c>
    </row>
    <row r="105" spans="1:160" x14ac:dyDescent="0.25">
      <c r="A105">
        <v>6096</v>
      </c>
      <c r="B105">
        <v>2</v>
      </c>
      <c r="C105">
        <v>25</v>
      </c>
      <c r="D105" s="1">
        <v>1.67</v>
      </c>
      <c r="E105">
        <v>53</v>
      </c>
      <c r="F105">
        <v>19</v>
      </c>
      <c r="G105">
        <v>1</v>
      </c>
      <c r="H105">
        <v>17</v>
      </c>
      <c r="I105">
        <v>19</v>
      </c>
      <c r="J105">
        <v>1</v>
      </c>
      <c r="K105">
        <v>1</v>
      </c>
      <c r="L105">
        <v>3</v>
      </c>
      <c r="M105" s="1">
        <v>22.13</v>
      </c>
      <c r="O105" s="1">
        <v>21</v>
      </c>
      <c r="P105" s="1">
        <v>-1.1299999999999999</v>
      </c>
      <c r="Q105" s="1">
        <v>24</v>
      </c>
      <c r="R105" s="1">
        <v>1.87</v>
      </c>
      <c r="S105" s="1">
        <v>20</v>
      </c>
      <c r="T105">
        <v>0</v>
      </c>
      <c r="U105">
        <v>2</v>
      </c>
      <c r="V105">
        <v>0</v>
      </c>
      <c r="W105">
        <v>5</v>
      </c>
      <c r="X105">
        <v>1</v>
      </c>
      <c r="Y105">
        <v>3</v>
      </c>
      <c r="Z105">
        <v>3</v>
      </c>
      <c r="AA105">
        <v>1</v>
      </c>
      <c r="AB105">
        <v>1</v>
      </c>
      <c r="AC105">
        <v>18</v>
      </c>
      <c r="AD105">
        <v>3</v>
      </c>
      <c r="AE105">
        <v>3</v>
      </c>
      <c r="AF105">
        <v>3</v>
      </c>
      <c r="AG105">
        <v>1</v>
      </c>
      <c r="AH105">
        <v>2</v>
      </c>
      <c r="AI105">
        <v>1</v>
      </c>
      <c r="AJ105">
        <v>0</v>
      </c>
      <c r="AK105">
        <v>2</v>
      </c>
      <c r="AL105">
        <v>12</v>
      </c>
      <c r="AM105">
        <v>2</v>
      </c>
      <c r="AN105">
        <v>7</v>
      </c>
      <c r="AO105">
        <v>8</v>
      </c>
      <c r="AP105">
        <v>8</v>
      </c>
      <c r="AQ105">
        <v>23</v>
      </c>
      <c r="AR105">
        <v>4</v>
      </c>
      <c r="AS105">
        <v>20</v>
      </c>
      <c r="AT105">
        <v>3</v>
      </c>
      <c r="AU105">
        <v>1</v>
      </c>
      <c r="AV105">
        <v>11</v>
      </c>
      <c r="AW105">
        <v>5</v>
      </c>
      <c r="AX105">
        <v>1</v>
      </c>
      <c r="AY105">
        <v>1</v>
      </c>
      <c r="AZ105">
        <v>15</v>
      </c>
      <c r="BA105">
        <v>3</v>
      </c>
      <c r="BB105">
        <v>2</v>
      </c>
      <c r="BC105">
        <v>3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8</v>
      </c>
      <c r="BJ105">
        <v>2</v>
      </c>
      <c r="BK105">
        <v>5</v>
      </c>
      <c r="BL105">
        <v>6</v>
      </c>
      <c r="BM105">
        <v>6</v>
      </c>
      <c r="BN105">
        <v>17</v>
      </c>
      <c r="BO105">
        <v>0</v>
      </c>
      <c r="BP105">
        <v>0</v>
      </c>
      <c r="BQ105">
        <v>2</v>
      </c>
      <c r="BR105">
        <v>1</v>
      </c>
      <c r="BS105">
        <v>1</v>
      </c>
      <c r="BT105">
        <v>4</v>
      </c>
      <c r="BU105">
        <v>2</v>
      </c>
      <c r="BV105">
        <v>2</v>
      </c>
      <c r="BW105">
        <v>4</v>
      </c>
      <c r="BX105">
        <v>2</v>
      </c>
      <c r="BY105">
        <v>2</v>
      </c>
      <c r="BZ105">
        <v>2</v>
      </c>
      <c r="CA105">
        <v>1</v>
      </c>
      <c r="CB105">
        <v>1</v>
      </c>
      <c r="CC105">
        <v>13</v>
      </c>
      <c r="CD105">
        <v>2</v>
      </c>
      <c r="CE105">
        <v>1</v>
      </c>
      <c r="CF105">
        <v>1</v>
      </c>
      <c r="CG105">
        <v>17</v>
      </c>
      <c r="CH105">
        <v>27</v>
      </c>
      <c r="CI105">
        <v>28</v>
      </c>
      <c r="CJ105">
        <v>34</v>
      </c>
      <c r="CK105">
        <v>28</v>
      </c>
      <c r="CL105">
        <v>25</v>
      </c>
      <c r="CM105">
        <v>13</v>
      </c>
      <c r="CN105">
        <v>13</v>
      </c>
      <c r="CO105">
        <v>23</v>
      </c>
      <c r="CP105" s="26">
        <v>20</v>
      </c>
      <c r="CQ105" s="20">
        <v>7</v>
      </c>
      <c r="CR105" s="24">
        <v>24.071428571428573</v>
      </c>
      <c r="CS105" s="24">
        <v>24.619047619047617</v>
      </c>
      <c r="CT105" s="24">
        <v>9.3571428571428577</v>
      </c>
      <c r="CU105" s="24">
        <v>557.14285714285711</v>
      </c>
      <c r="CV105" s="24">
        <v>515.85714285714289</v>
      </c>
      <c r="CW105" s="24">
        <v>32.857142857142854</v>
      </c>
      <c r="CX105" s="24">
        <v>92.799747945773291</v>
      </c>
      <c r="CY105" s="25">
        <v>8.4285714285714288</v>
      </c>
      <c r="CZ105" s="20">
        <v>7</v>
      </c>
      <c r="DA105" s="24">
        <v>24</v>
      </c>
      <c r="DB105" s="24">
        <v>24.326190476190479</v>
      </c>
      <c r="DC105" s="24">
        <v>9.0761904761904759</v>
      </c>
      <c r="DD105" s="24">
        <v>9.3571428571428577</v>
      </c>
      <c r="DE105" s="24">
        <v>561.42857142857144</v>
      </c>
      <c r="DF105" s="24">
        <v>494.14285714285717</v>
      </c>
      <c r="DG105" s="24">
        <v>19.571428571428573</v>
      </c>
      <c r="DH105" s="24">
        <v>88.482857142857156</v>
      </c>
      <c r="DI105" s="24">
        <v>29.285714285714285</v>
      </c>
      <c r="DJ105" s="24">
        <v>92.95541052444409</v>
      </c>
      <c r="DK105" s="24">
        <v>95.737531864762204</v>
      </c>
      <c r="DL105" s="25">
        <v>87.133583855822209</v>
      </c>
      <c r="DM105" s="20">
        <v>14</v>
      </c>
      <c r="DN105" s="24">
        <v>22.761904761904763</v>
      </c>
      <c r="DO105" s="24">
        <v>23.916666666666664</v>
      </c>
      <c r="DP105" s="24">
        <v>8.9047619047619051</v>
      </c>
      <c r="DQ105" s="24">
        <v>608.57142857142856</v>
      </c>
      <c r="DR105" s="24">
        <v>525.07142857142856</v>
      </c>
      <c r="DS105" s="24">
        <v>69.285714285714292</v>
      </c>
      <c r="DT105" s="24">
        <v>85.850718751540313</v>
      </c>
      <c r="DU105" s="25">
        <v>14.214285714285714</v>
      </c>
      <c r="DV105" s="20">
        <v>14</v>
      </c>
      <c r="DW105" s="24">
        <v>22.761904761904763</v>
      </c>
      <c r="DX105" s="24">
        <v>23.270238095238096</v>
      </c>
      <c r="DY105" s="24">
        <v>8.7547619047619047</v>
      </c>
      <c r="DZ105" s="24">
        <v>9.0119047619047628</v>
      </c>
      <c r="EA105" s="24">
        <v>615</v>
      </c>
      <c r="EB105" s="24">
        <v>540.35714285714289</v>
      </c>
      <c r="EC105" s="24">
        <v>540.35714285714289</v>
      </c>
      <c r="ED105" s="24">
        <v>87.794285714285706</v>
      </c>
      <c r="EE105" s="24">
        <v>28.5</v>
      </c>
      <c r="EF105" s="24">
        <v>88.548778518045992</v>
      </c>
      <c r="EG105" s="24">
        <v>95.98507478068116</v>
      </c>
      <c r="EH105" s="25">
        <v>92.056334960857939</v>
      </c>
      <c r="EI105" s="20">
        <v>6</v>
      </c>
      <c r="EJ105" s="24">
        <v>21.527777777777782</v>
      </c>
      <c r="EK105" s="24">
        <v>22.305555555555557</v>
      </c>
      <c r="EL105" s="24">
        <v>7.6944444444444455</v>
      </c>
      <c r="EM105" s="24">
        <v>610</v>
      </c>
      <c r="EN105" s="24">
        <v>537.16666666666663</v>
      </c>
      <c r="EO105" s="24">
        <v>46.666666666666664</v>
      </c>
      <c r="EP105" s="24">
        <v>87.35418356355666</v>
      </c>
      <c r="EQ105" s="25">
        <v>26.166666666666668</v>
      </c>
      <c r="ER105" s="20">
        <v>6</v>
      </c>
      <c r="ES105" s="24">
        <v>21.527777777777782</v>
      </c>
      <c r="ET105" s="24">
        <v>21.847222222222218</v>
      </c>
      <c r="EU105" s="24">
        <v>7.6166666666666671</v>
      </c>
      <c r="EV105" s="24">
        <v>7.9444444444444455</v>
      </c>
      <c r="EW105" s="24">
        <v>625</v>
      </c>
      <c r="EX105" s="24">
        <v>555.66666666666663</v>
      </c>
      <c r="EY105" s="24">
        <v>19.166666666666668</v>
      </c>
      <c r="EZ105" s="24">
        <v>89.06</v>
      </c>
      <c r="FA105" s="24">
        <v>30</v>
      </c>
      <c r="FB105" s="24">
        <v>90.632882451553471</v>
      </c>
      <c r="FC105" s="24">
        <v>95.349982524499907</v>
      </c>
      <c r="FD105" s="24">
        <v>91.437289562289564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"/>
  <sheetViews>
    <sheetView workbookViewId="0">
      <pane ySplit="600" activePane="bottomLeft"/>
      <selection activeCell="N1" sqref="N1:N1048576"/>
      <selection pane="bottomLeft" activeCell="E15" sqref="E15"/>
    </sheetView>
  </sheetViews>
  <sheetFormatPr defaultRowHeight="15" x14ac:dyDescent="0.25"/>
  <cols>
    <col min="1" max="1" width="14.7109375" bestFit="1" customWidth="1"/>
    <col min="2" max="2" width="9.85546875" bestFit="1" customWidth="1"/>
    <col min="3" max="4" width="6.7109375" bestFit="1" customWidth="1"/>
    <col min="5" max="5" width="8.5703125" bestFit="1" customWidth="1"/>
    <col min="6" max="6" width="15.7109375" bestFit="1" customWidth="1"/>
    <col min="7" max="7" width="15.42578125" bestFit="1" customWidth="1"/>
    <col min="8" max="8" width="17.28515625" style="1" bestFit="1" customWidth="1"/>
    <col min="9" max="9" width="6.7109375" style="1" bestFit="1" customWidth="1"/>
    <col min="10" max="10" width="19.28515625" style="1" bestFit="1" customWidth="1"/>
    <col min="11" max="11" width="28.28515625" style="1" bestFit="1" customWidth="1"/>
    <col min="12" max="12" width="6.7109375" bestFit="1" customWidth="1"/>
    <col min="13" max="13" width="12.5703125" bestFit="1" customWidth="1"/>
    <col min="14" max="14" width="19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5</v>
      </c>
      <c r="E1" t="s">
        <v>8</v>
      </c>
      <c r="F1" t="s">
        <v>9</v>
      </c>
      <c r="G1" t="s">
        <v>10</v>
      </c>
      <c r="H1" t="s">
        <v>12</v>
      </c>
      <c r="I1" t="s">
        <v>14</v>
      </c>
      <c r="J1" t="s">
        <v>15</v>
      </c>
      <c r="K1" t="s">
        <v>16</v>
      </c>
      <c r="L1" s="5" t="s">
        <v>222</v>
      </c>
      <c r="M1" t="s">
        <v>6</v>
      </c>
      <c r="N1" s="5" t="s">
        <v>237</v>
      </c>
    </row>
    <row r="2" spans="1:14" x14ac:dyDescent="0.25">
      <c r="A2">
        <v>4001</v>
      </c>
      <c r="B2">
        <v>1</v>
      </c>
      <c r="C2">
        <v>26</v>
      </c>
      <c r="D2">
        <v>20.9</v>
      </c>
      <c r="E2">
        <v>20</v>
      </c>
      <c r="F2">
        <v>1</v>
      </c>
      <c r="G2">
        <v>2</v>
      </c>
      <c r="H2" s="1">
        <v>21.75</v>
      </c>
      <c r="I2" s="1">
        <v>22.5</v>
      </c>
      <c r="J2" s="1">
        <v>0.75</v>
      </c>
      <c r="K2" s="1">
        <v>2.98</v>
      </c>
      <c r="L2" s="1">
        <v>24.73</v>
      </c>
      <c r="M2">
        <v>2</v>
      </c>
      <c r="N2" s="27">
        <f>I2-1</f>
        <v>21.5</v>
      </c>
    </row>
    <row r="3" spans="1:14" x14ac:dyDescent="0.25">
      <c r="A3">
        <v>4012</v>
      </c>
      <c r="B3">
        <v>1</v>
      </c>
      <c r="C3">
        <v>25</v>
      </c>
      <c r="D3">
        <v>24.9</v>
      </c>
      <c r="E3">
        <v>21</v>
      </c>
      <c r="F3">
        <v>1</v>
      </c>
      <c r="G3">
        <v>3</v>
      </c>
      <c r="H3" s="1">
        <v>23.65</v>
      </c>
      <c r="I3" s="1">
        <v>23.75</v>
      </c>
      <c r="J3" s="1">
        <v>0.1</v>
      </c>
      <c r="K3" s="1">
        <v>3.2</v>
      </c>
      <c r="L3" s="1">
        <v>26.849999999999998</v>
      </c>
      <c r="M3">
        <v>2</v>
      </c>
      <c r="N3" s="27">
        <f t="shared" ref="N3:N66" si="0">I3-1</f>
        <v>22.75</v>
      </c>
    </row>
    <row r="4" spans="1:14" x14ac:dyDescent="0.25">
      <c r="A4">
        <v>4018</v>
      </c>
      <c r="B4">
        <v>1</v>
      </c>
      <c r="C4">
        <v>23</v>
      </c>
      <c r="D4">
        <v>19.38</v>
      </c>
      <c r="E4">
        <v>24</v>
      </c>
      <c r="F4">
        <v>2</v>
      </c>
      <c r="G4">
        <v>2</v>
      </c>
      <c r="H4" s="1">
        <v>23.15</v>
      </c>
      <c r="I4" s="1">
        <v>23.75</v>
      </c>
      <c r="J4" s="1">
        <v>0.6</v>
      </c>
      <c r="K4" s="1">
        <v>3.28</v>
      </c>
      <c r="L4" s="1">
        <v>26.43</v>
      </c>
      <c r="M4">
        <v>1</v>
      </c>
      <c r="N4" s="27">
        <f t="shared" si="0"/>
        <v>22.75</v>
      </c>
    </row>
    <row r="5" spans="1:14" x14ac:dyDescent="0.25">
      <c r="A5">
        <v>4019</v>
      </c>
      <c r="B5">
        <v>1</v>
      </c>
      <c r="C5">
        <v>23</v>
      </c>
      <c r="D5">
        <v>23.15</v>
      </c>
      <c r="E5">
        <v>24</v>
      </c>
      <c r="F5">
        <v>2</v>
      </c>
      <c r="G5">
        <v>2</v>
      </c>
      <c r="H5" s="1">
        <v>22.4</v>
      </c>
      <c r="I5" s="1">
        <v>23</v>
      </c>
      <c r="J5" s="1">
        <v>0.6</v>
      </c>
      <c r="K5" s="1">
        <v>4.55</v>
      </c>
      <c r="L5" s="1">
        <v>26.95</v>
      </c>
      <c r="M5">
        <v>2</v>
      </c>
      <c r="N5" s="27">
        <f t="shared" si="0"/>
        <v>22</v>
      </c>
    </row>
    <row r="6" spans="1:14" x14ac:dyDescent="0.25">
      <c r="A6">
        <v>4020</v>
      </c>
      <c r="B6">
        <v>1</v>
      </c>
      <c r="C6">
        <v>36</v>
      </c>
      <c r="D6">
        <v>24.73</v>
      </c>
      <c r="E6">
        <v>31</v>
      </c>
      <c r="F6">
        <v>2</v>
      </c>
      <c r="G6">
        <v>1</v>
      </c>
      <c r="H6" s="1">
        <v>22.45</v>
      </c>
      <c r="I6" s="1">
        <v>23</v>
      </c>
      <c r="J6" s="1">
        <v>0.55000000000000004</v>
      </c>
      <c r="K6" s="1">
        <v>1.51</v>
      </c>
      <c r="L6" s="1">
        <v>23.96</v>
      </c>
      <c r="M6">
        <v>2</v>
      </c>
      <c r="N6" s="27">
        <f t="shared" si="0"/>
        <v>22</v>
      </c>
    </row>
    <row r="7" spans="1:14" x14ac:dyDescent="0.25">
      <c r="A7">
        <v>4021</v>
      </c>
      <c r="B7">
        <v>2</v>
      </c>
      <c r="C7">
        <v>20</v>
      </c>
      <c r="D7">
        <v>19.05</v>
      </c>
      <c r="E7">
        <v>33</v>
      </c>
      <c r="F7">
        <v>2</v>
      </c>
      <c r="H7" s="1">
        <v>22.63</v>
      </c>
      <c r="I7" s="1">
        <v>22</v>
      </c>
      <c r="J7" s="1">
        <v>-0.63</v>
      </c>
      <c r="K7" s="1">
        <v>4.26</v>
      </c>
      <c r="L7" s="1">
        <v>26.89</v>
      </c>
      <c r="M7">
        <v>1</v>
      </c>
      <c r="N7" s="27">
        <f t="shared" si="0"/>
        <v>21</v>
      </c>
    </row>
    <row r="8" spans="1:14" x14ac:dyDescent="0.25">
      <c r="A8">
        <v>4023</v>
      </c>
      <c r="B8">
        <v>1</v>
      </c>
      <c r="C8">
        <v>36</v>
      </c>
      <c r="D8">
        <v>27.46</v>
      </c>
      <c r="E8">
        <v>30</v>
      </c>
      <c r="F8">
        <v>2</v>
      </c>
      <c r="G8">
        <v>2</v>
      </c>
      <c r="H8" s="1">
        <v>22.8</v>
      </c>
      <c r="I8" s="1">
        <v>22</v>
      </c>
      <c r="J8" s="1">
        <v>-0.8</v>
      </c>
      <c r="L8" s="1"/>
      <c r="M8">
        <v>1</v>
      </c>
      <c r="N8" s="27">
        <f t="shared" si="0"/>
        <v>21</v>
      </c>
    </row>
    <row r="9" spans="1:14" x14ac:dyDescent="0.25">
      <c r="A9">
        <v>4024</v>
      </c>
      <c r="B9">
        <v>1</v>
      </c>
      <c r="C9">
        <v>23</v>
      </c>
      <c r="D9">
        <v>31.6</v>
      </c>
      <c r="E9">
        <v>25</v>
      </c>
      <c r="F9">
        <v>2</v>
      </c>
      <c r="G9">
        <v>2</v>
      </c>
      <c r="H9" s="1">
        <v>23.45</v>
      </c>
      <c r="I9" s="1">
        <v>24</v>
      </c>
      <c r="J9" s="1">
        <v>0.55000000000000004</v>
      </c>
      <c r="K9" s="1">
        <v>3.94</v>
      </c>
      <c r="L9" s="1">
        <v>27.39</v>
      </c>
      <c r="M9">
        <v>1</v>
      </c>
      <c r="N9" s="27">
        <f t="shared" si="0"/>
        <v>23</v>
      </c>
    </row>
    <row r="10" spans="1:14" x14ac:dyDescent="0.25">
      <c r="A10">
        <v>4027</v>
      </c>
      <c r="B10">
        <v>1</v>
      </c>
      <c r="C10">
        <v>22</v>
      </c>
      <c r="D10">
        <v>22.53</v>
      </c>
      <c r="E10">
        <v>36</v>
      </c>
      <c r="F10">
        <v>2</v>
      </c>
      <c r="G10">
        <v>1</v>
      </c>
      <c r="H10" s="1">
        <v>24.2</v>
      </c>
      <c r="I10" s="1">
        <v>23.5</v>
      </c>
      <c r="J10" s="1">
        <v>-0.7</v>
      </c>
      <c r="L10" s="1"/>
      <c r="M10">
        <v>2</v>
      </c>
      <c r="N10" s="27">
        <f t="shared" si="0"/>
        <v>22.5</v>
      </c>
    </row>
    <row r="11" spans="1:14" x14ac:dyDescent="0.25">
      <c r="A11">
        <v>4028</v>
      </c>
      <c r="B11">
        <v>1</v>
      </c>
      <c r="C11">
        <v>24</v>
      </c>
      <c r="D11">
        <v>26.28</v>
      </c>
      <c r="E11">
        <v>21</v>
      </c>
      <c r="F11">
        <v>1</v>
      </c>
      <c r="G11">
        <v>2</v>
      </c>
      <c r="H11" s="1">
        <v>23.63</v>
      </c>
      <c r="I11" s="1">
        <v>25</v>
      </c>
      <c r="J11" s="1">
        <v>1.37</v>
      </c>
      <c r="K11" s="1">
        <v>3.15</v>
      </c>
      <c r="L11" s="1">
        <v>26.779999999999998</v>
      </c>
      <c r="M11">
        <v>2</v>
      </c>
      <c r="N11" s="27">
        <f t="shared" si="0"/>
        <v>24</v>
      </c>
    </row>
    <row r="12" spans="1:14" x14ac:dyDescent="0.25">
      <c r="A12">
        <v>4029</v>
      </c>
      <c r="B12">
        <v>2</v>
      </c>
      <c r="C12">
        <v>39</v>
      </c>
      <c r="D12">
        <v>33.46</v>
      </c>
      <c r="E12">
        <v>22</v>
      </c>
      <c r="F12">
        <v>1</v>
      </c>
      <c r="G12">
        <v>1</v>
      </c>
      <c r="H12" s="1">
        <v>21.62</v>
      </c>
      <c r="I12" s="1">
        <v>21</v>
      </c>
      <c r="J12" s="1">
        <v>-0.62</v>
      </c>
      <c r="K12" s="1">
        <v>2.2599999999999998</v>
      </c>
      <c r="L12" s="1">
        <v>23.880000000000003</v>
      </c>
      <c r="M12">
        <v>2</v>
      </c>
      <c r="N12" s="27">
        <f t="shared" si="0"/>
        <v>20</v>
      </c>
    </row>
    <row r="13" spans="1:14" x14ac:dyDescent="0.25">
      <c r="A13">
        <v>4033</v>
      </c>
      <c r="B13">
        <v>1</v>
      </c>
      <c r="C13">
        <v>22</v>
      </c>
      <c r="D13">
        <v>22.52</v>
      </c>
      <c r="E13">
        <v>34</v>
      </c>
      <c r="F13">
        <v>2</v>
      </c>
      <c r="G13">
        <v>1</v>
      </c>
      <c r="H13" s="1">
        <v>21.63</v>
      </c>
      <c r="I13" s="1">
        <v>22</v>
      </c>
      <c r="J13" s="1">
        <v>0.37</v>
      </c>
      <c r="K13" s="1">
        <v>3.45</v>
      </c>
      <c r="L13" s="1">
        <v>25.08</v>
      </c>
      <c r="M13">
        <v>2</v>
      </c>
      <c r="N13" s="27">
        <f t="shared" si="0"/>
        <v>21</v>
      </c>
    </row>
    <row r="14" spans="1:14" x14ac:dyDescent="0.25">
      <c r="A14">
        <v>4035</v>
      </c>
      <c r="B14">
        <v>1</v>
      </c>
      <c r="C14">
        <v>21</v>
      </c>
      <c r="D14">
        <v>17.48</v>
      </c>
      <c r="E14">
        <v>16</v>
      </c>
      <c r="F14">
        <v>1</v>
      </c>
      <c r="G14">
        <v>2</v>
      </c>
      <c r="H14" s="1">
        <v>24.2</v>
      </c>
      <c r="I14" s="1">
        <v>23</v>
      </c>
      <c r="J14" s="1">
        <v>-1.2</v>
      </c>
      <c r="K14" s="1">
        <v>1.97</v>
      </c>
      <c r="L14" s="1">
        <v>26.169999999999998</v>
      </c>
      <c r="M14">
        <v>1</v>
      </c>
      <c r="N14" s="27">
        <f t="shared" si="0"/>
        <v>22</v>
      </c>
    </row>
    <row r="15" spans="1:14" x14ac:dyDescent="0.25">
      <c r="A15">
        <v>4036</v>
      </c>
      <c r="B15">
        <v>1</v>
      </c>
      <c r="C15">
        <v>27</v>
      </c>
      <c r="D15">
        <v>27.68</v>
      </c>
      <c r="E15">
        <v>18</v>
      </c>
      <c r="F15">
        <v>1</v>
      </c>
      <c r="G15">
        <v>2</v>
      </c>
      <c r="H15" s="1">
        <v>23.38</v>
      </c>
      <c r="I15" s="1">
        <v>22.5</v>
      </c>
      <c r="J15" s="1">
        <v>-0.88</v>
      </c>
      <c r="K15" s="1">
        <v>2.97</v>
      </c>
      <c r="L15" s="1">
        <v>26.349999999999998</v>
      </c>
      <c r="M15">
        <v>2</v>
      </c>
      <c r="N15" s="27">
        <f t="shared" si="0"/>
        <v>21.5</v>
      </c>
    </row>
    <row r="16" spans="1:14" x14ac:dyDescent="0.25">
      <c r="A16">
        <v>4037</v>
      </c>
      <c r="B16">
        <v>2</v>
      </c>
      <c r="C16">
        <v>22</v>
      </c>
      <c r="D16">
        <v>27.04</v>
      </c>
      <c r="E16">
        <v>30</v>
      </c>
      <c r="F16">
        <v>2</v>
      </c>
      <c r="G16">
        <v>1</v>
      </c>
      <c r="H16" s="1">
        <v>23.3</v>
      </c>
      <c r="I16" s="1">
        <v>23</v>
      </c>
      <c r="J16" s="1">
        <v>-0.3</v>
      </c>
      <c r="K16" s="1">
        <v>1</v>
      </c>
      <c r="L16" s="1">
        <v>24.3</v>
      </c>
      <c r="M16">
        <v>1</v>
      </c>
      <c r="N16" s="27">
        <f t="shared" si="0"/>
        <v>22</v>
      </c>
    </row>
    <row r="17" spans="1:14" x14ac:dyDescent="0.25">
      <c r="A17">
        <v>4038</v>
      </c>
      <c r="B17">
        <v>1</v>
      </c>
      <c r="C17">
        <v>28</v>
      </c>
      <c r="D17">
        <v>27.12</v>
      </c>
      <c r="E17">
        <v>26</v>
      </c>
      <c r="F17">
        <v>2</v>
      </c>
      <c r="G17">
        <v>1</v>
      </c>
      <c r="H17" s="1">
        <v>22.7</v>
      </c>
      <c r="I17" s="1">
        <v>22.5</v>
      </c>
      <c r="J17" s="1">
        <v>-0.2</v>
      </c>
      <c r="K17" s="1">
        <v>1.93</v>
      </c>
      <c r="L17" s="1">
        <v>24.63</v>
      </c>
      <c r="M17">
        <v>2</v>
      </c>
      <c r="N17" s="27">
        <f t="shared" si="0"/>
        <v>21.5</v>
      </c>
    </row>
    <row r="18" spans="1:14" x14ac:dyDescent="0.25">
      <c r="A18">
        <v>4040</v>
      </c>
      <c r="B18">
        <v>1</v>
      </c>
      <c r="C18">
        <v>24</v>
      </c>
      <c r="D18">
        <v>24.38</v>
      </c>
      <c r="E18">
        <v>20</v>
      </c>
      <c r="F18">
        <v>1</v>
      </c>
      <c r="G18">
        <v>2</v>
      </c>
      <c r="H18" s="1">
        <v>23.9</v>
      </c>
      <c r="I18" s="1">
        <v>23</v>
      </c>
      <c r="J18" s="1">
        <v>-0.9</v>
      </c>
      <c r="K18" s="1">
        <v>3.32</v>
      </c>
      <c r="L18" s="1">
        <v>27.22</v>
      </c>
      <c r="M18">
        <v>2</v>
      </c>
      <c r="N18" s="27">
        <f t="shared" si="0"/>
        <v>22</v>
      </c>
    </row>
    <row r="19" spans="1:14" x14ac:dyDescent="0.25">
      <c r="A19">
        <v>4044</v>
      </c>
      <c r="B19">
        <v>1</v>
      </c>
      <c r="C19">
        <v>31</v>
      </c>
      <c r="D19">
        <v>25.35</v>
      </c>
      <c r="E19">
        <v>18</v>
      </c>
      <c r="F19">
        <v>1</v>
      </c>
      <c r="G19">
        <v>1</v>
      </c>
      <c r="H19" s="1">
        <v>21.68</v>
      </c>
      <c r="I19" s="1">
        <v>22</v>
      </c>
      <c r="J19" s="1">
        <v>0.32</v>
      </c>
      <c r="K19" s="1">
        <v>2.09</v>
      </c>
      <c r="L19" s="1">
        <v>23.77</v>
      </c>
      <c r="M19">
        <v>1</v>
      </c>
      <c r="N19" s="27">
        <f t="shared" si="0"/>
        <v>21</v>
      </c>
    </row>
    <row r="20" spans="1:14" x14ac:dyDescent="0.25">
      <c r="A20">
        <v>4049</v>
      </c>
      <c r="B20">
        <v>1</v>
      </c>
      <c r="C20">
        <v>24</v>
      </c>
      <c r="D20">
        <v>23.66</v>
      </c>
      <c r="E20">
        <v>21</v>
      </c>
      <c r="F20">
        <v>1</v>
      </c>
      <c r="G20">
        <v>3</v>
      </c>
      <c r="H20" s="1">
        <v>21.97</v>
      </c>
      <c r="I20" s="1">
        <v>21</v>
      </c>
      <c r="J20" s="1">
        <v>-0.97</v>
      </c>
      <c r="K20" s="1">
        <v>2.63</v>
      </c>
      <c r="L20" s="1">
        <v>24.599999999999998</v>
      </c>
      <c r="M20">
        <v>2</v>
      </c>
      <c r="N20" s="27">
        <f t="shared" si="0"/>
        <v>20</v>
      </c>
    </row>
    <row r="21" spans="1:14" x14ac:dyDescent="0.25">
      <c r="A21">
        <v>4050</v>
      </c>
      <c r="B21">
        <v>2</v>
      </c>
      <c r="C21">
        <v>27</v>
      </c>
      <c r="D21">
        <v>32.46</v>
      </c>
      <c r="E21">
        <v>21</v>
      </c>
      <c r="F21">
        <v>1</v>
      </c>
      <c r="G21">
        <v>1</v>
      </c>
      <c r="H21" s="1">
        <v>21.6</v>
      </c>
      <c r="I21" s="1">
        <v>22</v>
      </c>
      <c r="J21" s="1">
        <v>0.4</v>
      </c>
      <c r="K21" s="1">
        <v>3.32</v>
      </c>
      <c r="L21" s="1">
        <v>24.92</v>
      </c>
      <c r="M21">
        <v>1</v>
      </c>
      <c r="N21" s="27">
        <f t="shared" si="0"/>
        <v>21</v>
      </c>
    </row>
    <row r="22" spans="1:14" x14ac:dyDescent="0.25">
      <c r="A22">
        <v>4052</v>
      </c>
      <c r="B22">
        <v>1</v>
      </c>
      <c r="C22">
        <v>36</v>
      </c>
      <c r="D22">
        <v>20.16</v>
      </c>
      <c r="E22">
        <v>22</v>
      </c>
      <c r="F22">
        <v>1</v>
      </c>
      <c r="G22">
        <v>1</v>
      </c>
      <c r="H22" s="1">
        <v>23.43</v>
      </c>
      <c r="I22" s="1">
        <v>24</v>
      </c>
      <c r="J22" s="1">
        <v>0.56999999999999995</v>
      </c>
      <c r="K22" s="1">
        <v>1.56</v>
      </c>
      <c r="L22" s="1">
        <v>24.99</v>
      </c>
      <c r="M22">
        <v>1</v>
      </c>
      <c r="N22" s="27">
        <f t="shared" si="0"/>
        <v>23</v>
      </c>
    </row>
    <row r="23" spans="1:14" x14ac:dyDescent="0.25">
      <c r="A23">
        <v>4056</v>
      </c>
      <c r="B23">
        <v>2</v>
      </c>
      <c r="C23">
        <v>21</v>
      </c>
      <c r="D23">
        <v>34.6</v>
      </c>
      <c r="E23">
        <v>22</v>
      </c>
      <c r="F23">
        <v>1</v>
      </c>
      <c r="G23">
        <v>1</v>
      </c>
      <c r="H23" s="1">
        <v>23.25</v>
      </c>
      <c r="I23" s="1">
        <v>23.5</v>
      </c>
      <c r="J23" s="1">
        <v>0.25</v>
      </c>
      <c r="K23" s="1">
        <v>3.88</v>
      </c>
      <c r="L23" s="1">
        <v>27.13</v>
      </c>
      <c r="M23">
        <v>2</v>
      </c>
      <c r="N23" s="27">
        <f t="shared" si="0"/>
        <v>22.5</v>
      </c>
    </row>
    <row r="24" spans="1:14" x14ac:dyDescent="0.25">
      <c r="A24">
        <v>4058</v>
      </c>
      <c r="B24">
        <v>2</v>
      </c>
      <c r="C24">
        <v>31</v>
      </c>
      <c r="D24">
        <v>20.55</v>
      </c>
      <c r="E24">
        <v>24</v>
      </c>
      <c r="F24">
        <v>2</v>
      </c>
      <c r="G24">
        <v>1</v>
      </c>
      <c r="H24" s="1">
        <v>24.98</v>
      </c>
      <c r="I24" s="1">
        <v>23</v>
      </c>
      <c r="J24" s="1">
        <v>-1.98</v>
      </c>
      <c r="K24" s="1">
        <v>-0.38</v>
      </c>
      <c r="L24" s="1">
        <v>24.6</v>
      </c>
      <c r="M24">
        <v>2</v>
      </c>
      <c r="N24" s="27">
        <f t="shared" si="0"/>
        <v>22</v>
      </c>
    </row>
    <row r="25" spans="1:14" x14ac:dyDescent="0.25">
      <c r="A25">
        <v>4062</v>
      </c>
      <c r="B25">
        <v>2</v>
      </c>
      <c r="C25">
        <v>30</v>
      </c>
      <c r="D25">
        <v>31.63</v>
      </c>
      <c r="E25">
        <v>23</v>
      </c>
      <c r="F25">
        <v>2</v>
      </c>
      <c r="G25">
        <v>1</v>
      </c>
      <c r="H25" s="1">
        <v>22.58</v>
      </c>
      <c r="I25" s="1">
        <v>22</v>
      </c>
      <c r="J25" s="1">
        <v>-0.57999999999999996</v>
      </c>
      <c r="K25" s="1">
        <v>1.06</v>
      </c>
      <c r="L25" s="1">
        <v>23.639999999999997</v>
      </c>
      <c r="M25">
        <v>1</v>
      </c>
      <c r="N25" s="27">
        <f t="shared" si="0"/>
        <v>21</v>
      </c>
    </row>
    <row r="26" spans="1:14" x14ac:dyDescent="0.25">
      <c r="A26">
        <v>4063</v>
      </c>
      <c r="B26">
        <v>2</v>
      </c>
      <c r="C26">
        <v>35</v>
      </c>
      <c r="D26">
        <v>27.06</v>
      </c>
      <c r="E26">
        <v>20</v>
      </c>
      <c r="F26">
        <v>1</v>
      </c>
      <c r="G26">
        <v>2</v>
      </c>
      <c r="H26" s="1">
        <v>21.97</v>
      </c>
      <c r="I26" s="1">
        <v>22</v>
      </c>
      <c r="J26" s="1">
        <v>0.03</v>
      </c>
      <c r="K26" s="1">
        <v>2.21</v>
      </c>
      <c r="L26" s="1">
        <v>24.18</v>
      </c>
      <c r="M26">
        <v>2</v>
      </c>
      <c r="N26" s="27">
        <f t="shared" si="0"/>
        <v>21</v>
      </c>
    </row>
    <row r="27" spans="1:14" x14ac:dyDescent="0.25">
      <c r="A27">
        <v>4064</v>
      </c>
      <c r="B27">
        <v>1</v>
      </c>
      <c r="C27">
        <v>41</v>
      </c>
      <c r="D27">
        <v>22.86</v>
      </c>
      <c r="E27">
        <v>21</v>
      </c>
      <c r="F27">
        <v>1</v>
      </c>
      <c r="G27">
        <v>2</v>
      </c>
      <c r="H27" s="1">
        <v>22.82</v>
      </c>
      <c r="I27" s="1">
        <v>22</v>
      </c>
      <c r="J27" s="1">
        <v>-0.82</v>
      </c>
      <c r="L27" s="1"/>
      <c r="M27">
        <v>2</v>
      </c>
      <c r="N27" s="27">
        <f t="shared" si="0"/>
        <v>21</v>
      </c>
    </row>
    <row r="28" spans="1:14" x14ac:dyDescent="0.25">
      <c r="A28">
        <v>4066</v>
      </c>
      <c r="B28">
        <v>1</v>
      </c>
      <c r="C28">
        <v>44</v>
      </c>
      <c r="D28">
        <v>29.37</v>
      </c>
      <c r="E28">
        <v>19</v>
      </c>
      <c r="F28">
        <v>1</v>
      </c>
      <c r="G28">
        <v>3</v>
      </c>
      <c r="H28" s="1">
        <v>20.88</v>
      </c>
      <c r="I28" s="1">
        <v>21.5</v>
      </c>
      <c r="J28" s="1">
        <v>0.62</v>
      </c>
      <c r="K28" s="1">
        <v>2.06</v>
      </c>
      <c r="L28" s="1">
        <v>22.939999999999998</v>
      </c>
      <c r="M28">
        <v>1</v>
      </c>
      <c r="N28" s="27">
        <f t="shared" si="0"/>
        <v>20.5</v>
      </c>
    </row>
    <row r="29" spans="1:14" x14ac:dyDescent="0.25">
      <c r="A29">
        <v>4069</v>
      </c>
      <c r="B29">
        <v>1</v>
      </c>
      <c r="C29">
        <v>51</v>
      </c>
      <c r="D29">
        <v>29.39</v>
      </c>
      <c r="E29">
        <v>22</v>
      </c>
      <c r="F29">
        <v>1</v>
      </c>
      <c r="G29">
        <v>2</v>
      </c>
      <c r="H29" s="1">
        <v>21.43</v>
      </c>
      <c r="I29" s="1">
        <v>22</v>
      </c>
      <c r="J29" s="1">
        <v>0.56999999999999995</v>
      </c>
      <c r="K29" s="1">
        <v>3.42</v>
      </c>
      <c r="L29" s="1">
        <v>24.85</v>
      </c>
      <c r="M29">
        <v>1</v>
      </c>
      <c r="N29" s="27">
        <f t="shared" si="0"/>
        <v>21</v>
      </c>
    </row>
    <row r="30" spans="1:14" x14ac:dyDescent="0.25">
      <c r="A30">
        <v>4071</v>
      </c>
      <c r="B30">
        <v>1</v>
      </c>
      <c r="C30">
        <v>44</v>
      </c>
      <c r="D30">
        <v>29.67</v>
      </c>
      <c r="E30">
        <v>22</v>
      </c>
      <c r="F30">
        <v>1</v>
      </c>
      <c r="G30">
        <v>1</v>
      </c>
      <c r="H30" s="1">
        <v>21.25</v>
      </c>
      <c r="I30" s="1">
        <v>22</v>
      </c>
      <c r="J30" s="1">
        <v>0.75</v>
      </c>
      <c r="K30" s="1">
        <v>2.64</v>
      </c>
      <c r="L30" s="1">
        <v>23.89</v>
      </c>
      <c r="M30">
        <v>1</v>
      </c>
      <c r="N30" s="27">
        <f t="shared" si="0"/>
        <v>21</v>
      </c>
    </row>
    <row r="31" spans="1:14" x14ac:dyDescent="0.25">
      <c r="A31">
        <v>4072</v>
      </c>
      <c r="B31">
        <v>1</v>
      </c>
      <c r="C31">
        <v>31</v>
      </c>
      <c r="D31">
        <v>25.77</v>
      </c>
      <c r="E31">
        <v>29</v>
      </c>
      <c r="F31">
        <v>2</v>
      </c>
      <c r="G31">
        <v>1</v>
      </c>
      <c r="H31" s="1">
        <v>23.85</v>
      </c>
      <c r="I31" s="1">
        <v>24</v>
      </c>
      <c r="J31" s="1">
        <v>0.15</v>
      </c>
      <c r="K31" s="1">
        <v>1.98</v>
      </c>
      <c r="L31" s="1">
        <v>25.830000000000002</v>
      </c>
      <c r="M31">
        <v>2</v>
      </c>
      <c r="N31" s="27">
        <f t="shared" si="0"/>
        <v>23</v>
      </c>
    </row>
    <row r="32" spans="1:14" x14ac:dyDescent="0.25">
      <c r="A32">
        <v>4073</v>
      </c>
      <c r="B32">
        <v>2</v>
      </c>
      <c r="C32">
        <v>19</v>
      </c>
      <c r="D32">
        <v>29.02</v>
      </c>
      <c r="E32">
        <v>19</v>
      </c>
      <c r="F32">
        <v>1</v>
      </c>
      <c r="G32">
        <v>2</v>
      </c>
      <c r="H32" s="1">
        <v>23.8</v>
      </c>
      <c r="I32" s="1">
        <v>23</v>
      </c>
      <c r="J32" s="1">
        <v>-0.8</v>
      </c>
      <c r="K32" s="1">
        <v>1.7</v>
      </c>
      <c r="L32" s="1">
        <v>25.5</v>
      </c>
      <c r="M32">
        <v>1</v>
      </c>
      <c r="N32" s="27">
        <f t="shared" si="0"/>
        <v>22</v>
      </c>
    </row>
    <row r="33" spans="1:14" x14ac:dyDescent="0.25">
      <c r="A33">
        <v>4076</v>
      </c>
      <c r="B33">
        <v>2</v>
      </c>
      <c r="C33">
        <v>34</v>
      </c>
      <c r="D33">
        <v>28.35</v>
      </c>
      <c r="E33">
        <v>25</v>
      </c>
      <c r="F33">
        <v>2</v>
      </c>
      <c r="G33">
        <v>2</v>
      </c>
      <c r="H33" s="1">
        <v>23.47</v>
      </c>
      <c r="I33" s="1">
        <v>24</v>
      </c>
      <c r="J33" s="1">
        <v>0.53</v>
      </c>
      <c r="K33" s="1">
        <v>2.5099999999999998</v>
      </c>
      <c r="L33" s="1">
        <v>25.979999999999997</v>
      </c>
      <c r="M33">
        <v>2</v>
      </c>
      <c r="N33" s="27">
        <f t="shared" si="0"/>
        <v>23</v>
      </c>
    </row>
    <row r="34" spans="1:14" x14ac:dyDescent="0.25">
      <c r="A34">
        <v>4077</v>
      </c>
      <c r="B34">
        <v>2</v>
      </c>
      <c r="C34">
        <v>47</v>
      </c>
      <c r="D34">
        <v>21.33</v>
      </c>
      <c r="E34">
        <v>24</v>
      </c>
      <c r="F34">
        <v>2</v>
      </c>
      <c r="G34">
        <v>1</v>
      </c>
      <c r="H34" s="1">
        <v>22.2</v>
      </c>
      <c r="I34" s="1">
        <v>22</v>
      </c>
      <c r="J34" s="1">
        <v>-0.2</v>
      </c>
      <c r="K34" s="1">
        <v>1.5</v>
      </c>
      <c r="L34" s="1">
        <v>23.7</v>
      </c>
      <c r="M34">
        <v>2</v>
      </c>
      <c r="N34" s="27">
        <f t="shared" si="0"/>
        <v>21</v>
      </c>
    </row>
    <row r="35" spans="1:14" x14ac:dyDescent="0.25">
      <c r="A35">
        <v>4081</v>
      </c>
      <c r="B35">
        <v>1</v>
      </c>
      <c r="C35">
        <v>26</v>
      </c>
      <c r="D35">
        <v>24.23</v>
      </c>
      <c r="E35">
        <v>20</v>
      </c>
      <c r="F35">
        <v>1</v>
      </c>
      <c r="G35">
        <v>1</v>
      </c>
      <c r="H35" s="1">
        <v>22.05</v>
      </c>
      <c r="I35" s="1">
        <v>22</v>
      </c>
      <c r="J35" s="1">
        <v>-0.05</v>
      </c>
      <c r="K35" s="1">
        <v>1.23</v>
      </c>
      <c r="L35" s="1">
        <v>23.28</v>
      </c>
      <c r="M35">
        <v>1</v>
      </c>
      <c r="N35" s="27">
        <f t="shared" si="0"/>
        <v>21</v>
      </c>
    </row>
    <row r="36" spans="1:14" x14ac:dyDescent="0.25">
      <c r="A36">
        <v>4083</v>
      </c>
      <c r="B36">
        <v>2</v>
      </c>
      <c r="C36">
        <v>64</v>
      </c>
      <c r="D36">
        <v>23.78</v>
      </c>
      <c r="E36">
        <v>21</v>
      </c>
      <c r="F36">
        <v>1</v>
      </c>
      <c r="G36">
        <v>2</v>
      </c>
      <c r="H36" s="1">
        <v>25.38</v>
      </c>
      <c r="I36" s="1">
        <v>24</v>
      </c>
      <c r="J36" s="1">
        <v>-1.38</v>
      </c>
      <c r="K36" s="1">
        <v>1.26</v>
      </c>
      <c r="L36" s="1">
        <v>26.64</v>
      </c>
      <c r="M36">
        <v>2</v>
      </c>
      <c r="N36" s="27">
        <f t="shared" si="0"/>
        <v>23</v>
      </c>
    </row>
    <row r="37" spans="1:14" x14ac:dyDescent="0.25">
      <c r="A37">
        <v>4084</v>
      </c>
      <c r="B37">
        <v>1</v>
      </c>
      <c r="C37">
        <v>60</v>
      </c>
      <c r="D37">
        <v>24.78</v>
      </c>
      <c r="E37">
        <v>22</v>
      </c>
      <c r="F37">
        <v>1</v>
      </c>
      <c r="G37">
        <v>2</v>
      </c>
      <c r="H37" s="1">
        <v>24.33</v>
      </c>
      <c r="I37" s="1">
        <v>23</v>
      </c>
      <c r="J37" s="1">
        <v>-1.33</v>
      </c>
      <c r="K37" s="1">
        <v>2.06</v>
      </c>
      <c r="L37" s="1">
        <v>26.389999999999997</v>
      </c>
      <c r="M37">
        <v>1</v>
      </c>
      <c r="N37" s="27">
        <f t="shared" si="0"/>
        <v>22</v>
      </c>
    </row>
    <row r="38" spans="1:14" x14ac:dyDescent="0.25">
      <c r="A38">
        <v>4085</v>
      </c>
      <c r="B38">
        <v>2</v>
      </c>
      <c r="C38">
        <v>51</v>
      </c>
      <c r="D38">
        <v>23.03</v>
      </c>
      <c r="E38">
        <v>34</v>
      </c>
      <c r="F38">
        <v>2</v>
      </c>
      <c r="G38">
        <v>2</v>
      </c>
      <c r="H38" s="1">
        <v>21.85</v>
      </c>
      <c r="I38" s="1">
        <v>21.5</v>
      </c>
      <c r="J38" s="1">
        <v>-0.35</v>
      </c>
      <c r="K38" s="1">
        <v>1.8</v>
      </c>
      <c r="L38" s="1">
        <v>23.650000000000002</v>
      </c>
      <c r="M38">
        <v>1</v>
      </c>
      <c r="N38" s="27">
        <f t="shared" si="0"/>
        <v>20.5</v>
      </c>
    </row>
    <row r="39" spans="1:14" x14ac:dyDescent="0.25">
      <c r="A39">
        <v>4090</v>
      </c>
      <c r="B39">
        <v>2</v>
      </c>
      <c r="C39">
        <v>20</v>
      </c>
      <c r="D39">
        <v>27.73</v>
      </c>
      <c r="E39">
        <v>20</v>
      </c>
      <c r="F39">
        <v>1</v>
      </c>
      <c r="G39">
        <v>2</v>
      </c>
      <c r="H39" s="1">
        <v>24.2</v>
      </c>
      <c r="I39" s="1">
        <v>22</v>
      </c>
      <c r="J39" s="1">
        <v>-2.2000000000000002</v>
      </c>
      <c r="K39" s="1">
        <v>1.07</v>
      </c>
      <c r="L39" s="1">
        <v>25.27</v>
      </c>
      <c r="M39">
        <v>2</v>
      </c>
      <c r="N39" s="27">
        <f t="shared" si="0"/>
        <v>21</v>
      </c>
    </row>
    <row r="40" spans="1:14" x14ac:dyDescent="0.25">
      <c r="A40">
        <v>4095</v>
      </c>
      <c r="B40">
        <v>2</v>
      </c>
      <c r="C40">
        <v>40</v>
      </c>
      <c r="D40">
        <v>19.829999999999998</v>
      </c>
      <c r="E40">
        <v>19</v>
      </c>
      <c r="F40">
        <v>1</v>
      </c>
      <c r="G40">
        <v>1</v>
      </c>
      <c r="H40" s="1">
        <v>20.7</v>
      </c>
      <c r="I40" s="1">
        <v>21</v>
      </c>
      <c r="J40" s="1">
        <v>0.3</v>
      </c>
      <c r="K40" s="1">
        <v>2.2599999999999998</v>
      </c>
      <c r="L40" s="1">
        <v>22.96</v>
      </c>
      <c r="M40">
        <v>2</v>
      </c>
      <c r="N40" s="27">
        <f t="shared" si="0"/>
        <v>20</v>
      </c>
    </row>
    <row r="41" spans="1:14" x14ac:dyDescent="0.25">
      <c r="A41">
        <v>4100</v>
      </c>
      <c r="B41">
        <v>2</v>
      </c>
      <c r="C41">
        <v>17</v>
      </c>
      <c r="D41">
        <v>20.23</v>
      </c>
      <c r="E41">
        <v>28</v>
      </c>
      <c r="F41">
        <v>2</v>
      </c>
      <c r="G41">
        <v>2</v>
      </c>
      <c r="H41" s="1">
        <v>20.23</v>
      </c>
      <c r="I41" s="1">
        <v>20.5</v>
      </c>
      <c r="J41" s="1">
        <v>0.27</v>
      </c>
      <c r="K41" s="1">
        <v>3.03</v>
      </c>
      <c r="L41" s="1">
        <v>23.26</v>
      </c>
      <c r="M41">
        <v>1</v>
      </c>
      <c r="N41" s="27">
        <f t="shared" si="0"/>
        <v>19.5</v>
      </c>
    </row>
    <row r="42" spans="1:14" x14ac:dyDescent="0.25">
      <c r="A42">
        <v>4102</v>
      </c>
      <c r="B42">
        <v>2</v>
      </c>
      <c r="C42">
        <v>17</v>
      </c>
      <c r="D42">
        <v>18.690000000000001</v>
      </c>
      <c r="E42">
        <v>22</v>
      </c>
      <c r="F42">
        <v>1</v>
      </c>
      <c r="G42">
        <v>3</v>
      </c>
      <c r="H42" s="1">
        <v>21.62</v>
      </c>
      <c r="I42" s="1">
        <v>21.5</v>
      </c>
      <c r="J42" s="1">
        <v>-0.12</v>
      </c>
      <c r="K42" s="1">
        <v>2.4</v>
      </c>
      <c r="L42" s="1">
        <v>24.02</v>
      </c>
      <c r="M42">
        <v>1</v>
      </c>
      <c r="N42" s="27">
        <f t="shared" si="0"/>
        <v>20.5</v>
      </c>
    </row>
    <row r="43" spans="1:14" x14ac:dyDescent="0.25">
      <c r="A43">
        <v>4103</v>
      </c>
      <c r="B43">
        <v>1</v>
      </c>
      <c r="C43">
        <v>24</v>
      </c>
      <c r="D43">
        <v>31.88</v>
      </c>
      <c r="E43">
        <v>37</v>
      </c>
      <c r="F43">
        <v>2</v>
      </c>
      <c r="G43">
        <v>1</v>
      </c>
      <c r="H43" s="1">
        <v>20.38</v>
      </c>
      <c r="I43" s="1">
        <v>20.5</v>
      </c>
      <c r="J43" s="1">
        <v>0.12</v>
      </c>
      <c r="K43" s="1">
        <v>2.41</v>
      </c>
      <c r="L43" s="1">
        <v>22.79</v>
      </c>
      <c r="M43">
        <v>2</v>
      </c>
      <c r="N43" s="27">
        <f t="shared" si="0"/>
        <v>19.5</v>
      </c>
    </row>
    <row r="44" spans="1:14" x14ac:dyDescent="0.25">
      <c r="A44">
        <v>4107</v>
      </c>
      <c r="B44">
        <v>2</v>
      </c>
      <c r="C44">
        <v>24</v>
      </c>
      <c r="D44">
        <v>20.170000000000002</v>
      </c>
      <c r="E44">
        <v>20</v>
      </c>
      <c r="F44">
        <v>1</v>
      </c>
      <c r="G44">
        <v>2</v>
      </c>
      <c r="H44" s="1">
        <v>22.5</v>
      </c>
      <c r="I44" s="1">
        <v>21.5</v>
      </c>
      <c r="J44" s="1">
        <v>-1</v>
      </c>
      <c r="K44" s="1">
        <v>3.54</v>
      </c>
      <c r="L44" s="1">
        <v>26.04</v>
      </c>
      <c r="M44">
        <v>2</v>
      </c>
      <c r="N44" s="27">
        <f t="shared" si="0"/>
        <v>20.5</v>
      </c>
    </row>
    <row r="45" spans="1:14" x14ac:dyDescent="0.25">
      <c r="A45">
        <v>4109</v>
      </c>
      <c r="B45">
        <v>2</v>
      </c>
      <c r="C45">
        <v>19</v>
      </c>
      <c r="D45">
        <v>30.46</v>
      </c>
      <c r="E45">
        <v>25</v>
      </c>
      <c r="F45">
        <v>2</v>
      </c>
      <c r="G45">
        <v>2</v>
      </c>
      <c r="H45" s="1">
        <v>21.18</v>
      </c>
      <c r="I45" s="1">
        <v>21.5</v>
      </c>
      <c r="J45" s="1">
        <v>0.32</v>
      </c>
      <c r="K45" s="1">
        <v>4.18</v>
      </c>
      <c r="L45" s="1">
        <v>25.36</v>
      </c>
      <c r="M45">
        <v>2</v>
      </c>
      <c r="N45" s="27">
        <f t="shared" si="0"/>
        <v>20.5</v>
      </c>
    </row>
    <row r="46" spans="1:14" x14ac:dyDescent="0.25">
      <c r="A46">
        <v>4110</v>
      </c>
      <c r="B46">
        <v>2</v>
      </c>
      <c r="C46">
        <v>27</v>
      </c>
      <c r="D46">
        <v>21.07</v>
      </c>
      <c r="E46">
        <v>30</v>
      </c>
      <c r="F46">
        <v>2</v>
      </c>
      <c r="G46">
        <v>1</v>
      </c>
      <c r="H46" s="1">
        <v>22.57</v>
      </c>
      <c r="I46" s="1">
        <v>22</v>
      </c>
      <c r="J46" s="1">
        <v>-0.56999999999999995</v>
      </c>
      <c r="K46" s="1">
        <v>2.4700000000000002</v>
      </c>
      <c r="L46" s="1">
        <v>25.04</v>
      </c>
      <c r="M46">
        <v>1</v>
      </c>
      <c r="N46" s="27">
        <f t="shared" si="0"/>
        <v>21</v>
      </c>
    </row>
    <row r="47" spans="1:14" x14ac:dyDescent="0.25">
      <c r="A47">
        <v>4111</v>
      </c>
      <c r="B47">
        <v>2</v>
      </c>
      <c r="C47">
        <v>33</v>
      </c>
      <c r="D47">
        <v>28.73</v>
      </c>
      <c r="E47">
        <v>29</v>
      </c>
      <c r="F47">
        <v>2</v>
      </c>
      <c r="G47">
        <v>2</v>
      </c>
      <c r="H47" s="1">
        <v>22.4</v>
      </c>
      <c r="I47" s="1">
        <v>22</v>
      </c>
      <c r="J47" s="1">
        <v>-0.4</v>
      </c>
      <c r="K47" s="1">
        <v>1.18</v>
      </c>
      <c r="L47" s="1">
        <v>23.58</v>
      </c>
      <c r="M47">
        <v>1</v>
      </c>
      <c r="N47" s="27">
        <f t="shared" si="0"/>
        <v>21</v>
      </c>
    </row>
    <row r="48" spans="1:14" x14ac:dyDescent="0.25">
      <c r="A48">
        <v>4114</v>
      </c>
      <c r="B48">
        <v>2</v>
      </c>
      <c r="C48">
        <v>47</v>
      </c>
      <c r="D48">
        <v>18.5</v>
      </c>
      <c r="E48">
        <v>29</v>
      </c>
      <c r="F48">
        <v>2</v>
      </c>
      <c r="G48">
        <v>3</v>
      </c>
      <c r="H48" s="1">
        <v>21.83</v>
      </c>
      <c r="I48" s="1">
        <v>22</v>
      </c>
      <c r="J48" s="1">
        <v>0.17</v>
      </c>
      <c r="K48" s="1">
        <v>1.3</v>
      </c>
      <c r="L48" s="1">
        <v>23.13</v>
      </c>
      <c r="M48">
        <v>2</v>
      </c>
      <c r="N48" s="27">
        <f t="shared" si="0"/>
        <v>21</v>
      </c>
    </row>
    <row r="49" spans="1:14" x14ac:dyDescent="0.25">
      <c r="A49">
        <v>4115</v>
      </c>
      <c r="B49">
        <v>1</v>
      </c>
      <c r="C49">
        <v>46</v>
      </c>
      <c r="D49">
        <v>26.83</v>
      </c>
      <c r="E49">
        <v>27</v>
      </c>
      <c r="F49">
        <v>2</v>
      </c>
      <c r="G49">
        <v>1</v>
      </c>
      <c r="H49" s="1">
        <v>24.32</v>
      </c>
      <c r="I49" s="1">
        <v>23.5</v>
      </c>
      <c r="J49" s="1">
        <v>-0.82</v>
      </c>
      <c r="K49" s="1">
        <v>-0.17</v>
      </c>
      <c r="L49" s="1">
        <v>24.15</v>
      </c>
      <c r="M49">
        <v>2</v>
      </c>
      <c r="N49" s="27">
        <f t="shared" si="0"/>
        <v>22.5</v>
      </c>
    </row>
    <row r="50" spans="1:14" x14ac:dyDescent="0.25">
      <c r="A50">
        <v>4118</v>
      </c>
      <c r="B50">
        <v>2</v>
      </c>
      <c r="C50">
        <v>36</v>
      </c>
      <c r="D50">
        <v>24.77</v>
      </c>
      <c r="E50">
        <v>22</v>
      </c>
      <c r="F50">
        <v>1</v>
      </c>
      <c r="G50">
        <v>1</v>
      </c>
      <c r="H50" s="1">
        <v>20.57</v>
      </c>
      <c r="I50" s="1">
        <v>21</v>
      </c>
      <c r="J50" s="1">
        <v>0.43</v>
      </c>
      <c r="K50" s="1">
        <v>3.37</v>
      </c>
      <c r="L50" s="1">
        <v>23.94</v>
      </c>
      <c r="M50">
        <v>2</v>
      </c>
      <c r="N50" s="27">
        <f t="shared" si="0"/>
        <v>20</v>
      </c>
    </row>
    <row r="51" spans="1:14" x14ac:dyDescent="0.25">
      <c r="A51">
        <v>4119</v>
      </c>
      <c r="B51">
        <v>1</v>
      </c>
      <c r="C51">
        <v>30</v>
      </c>
      <c r="D51">
        <v>26.31</v>
      </c>
      <c r="E51">
        <v>19</v>
      </c>
      <c r="F51">
        <v>1</v>
      </c>
      <c r="G51">
        <v>3</v>
      </c>
      <c r="H51" s="1">
        <v>24</v>
      </c>
      <c r="I51" s="1">
        <v>23</v>
      </c>
      <c r="J51" s="1">
        <v>-1</v>
      </c>
      <c r="L51" s="1"/>
      <c r="M51">
        <v>1</v>
      </c>
      <c r="N51" s="27">
        <f t="shared" si="0"/>
        <v>22</v>
      </c>
    </row>
    <row r="52" spans="1:14" x14ac:dyDescent="0.25">
      <c r="A52">
        <v>4121</v>
      </c>
      <c r="B52">
        <v>1</v>
      </c>
      <c r="C52">
        <v>20</v>
      </c>
      <c r="D52">
        <v>24.11</v>
      </c>
      <c r="E52">
        <v>25</v>
      </c>
      <c r="F52">
        <v>2</v>
      </c>
      <c r="G52">
        <v>3</v>
      </c>
      <c r="H52" s="1">
        <v>24.1</v>
      </c>
      <c r="I52" s="1">
        <v>24</v>
      </c>
      <c r="J52" s="1">
        <v>-0.1</v>
      </c>
      <c r="K52" s="1">
        <v>1.76</v>
      </c>
      <c r="L52" s="1">
        <v>25.860000000000003</v>
      </c>
      <c r="M52">
        <v>1</v>
      </c>
      <c r="N52" s="27">
        <f t="shared" si="0"/>
        <v>23</v>
      </c>
    </row>
    <row r="53" spans="1:14" x14ac:dyDescent="0.25">
      <c r="A53">
        <v>4129</v>
      </c>
      <c r="B53">
        <v>1</v>
      </c>
      <c r="C53">
        <v>20</v>
      </c>
      <c r="D53">
        <v>33.33</v>
      </c>
      <c r="E53">
        <v>20</v>
      </c>
      <c r="F53">
        <v>1</v>
      </c>
      <c r="G53">
        <v>2</v>
      </c>
      <c r="H53" s="1">
        <v>24.83</v>
      </c>
      <c r="I53" s="1">
        <v>24</v>
      </c>
      <c r="J53" s="1">
        <v>-0.83</v>
      </c>
      <c r="K53" s="1">
        <v>1.34</v>
      </c>
      <c r="L53" s="1">
        <v>26.169999999999998</v>
      </c>
      <c r="M53">
        <v>1</v>
      </c>
      <c r="N53" s="27">
        <f t="shared" si="0"/>
        <v>23</v>
      </c>
    </row>
    <row r="54" spans="1:14" x14ac:dyDescent="0.25">
      <c r="A54">
        <v>4130</v>
      </c>
      <c r="B54">
        <v>1</v>
      </c>
      <c r="C54">
        <v>30</v>
      </c>
      <c r="D54">
        <v>26.87</v>
      </c>
      <c r="E54">
        <v>22</v>
      </c>
      <c r="F54">
        <v>1</v>
      </c>
      <c r="G54">
        <v>2</v>
      </c>
      <c r="H54" s="1">
        <v>21.08</v>
      </c>
      <c r="I54" s="1">
        <v>21</v>
      </c>
      <c r="J54" s="1">
        <v>-0.08</v>
      </c>
      <c r="K54" s="1">
        <v>3.98</v>
      </c>
      <c r="L54" s="1">
        <v>25.06</v>
      </c>
      <c r="M54">
        <v>2</v>
      </c>
      <c r="N54" s="27">
        <f t="shared" si="0"/>
        <v>20</v>
      </c>
    </row>
    <row r="55" spans="1:14" x14ac:dyDescent="0.25">
      <c r="A55">
        <v>4134</v>
      </c>
      <c r="B55">
        <v>2</v>
      </c>
      <c r="C55">
        <v>40</v>
      </c>
      <c r="D55">
        <v>20.05</v>
      </c>
      <c r="E55">
        <v>32</v>
      </c>
      <c r="F55">
        <v>2</v>
      </c>
      <c r="G55">
        <v>2</v>
      </c>
      <c r="H55" s="1">
        <v>21.35</v>
      </c>
      <c r="I55" s="1">
        <v>21</v>
      </c>
      <c r="J55" s="1">
        <v>-0.35</v>
      </c>
      <c r="K55" s="1">
        <v>1.95</v>
      </c>
      <c r="L55" s="1">
        <v>23.3</v>
      </c>
      <c r="M55">
        <v>1</v>
      </c>
      <c r="N55" s="27">
        <f t="shared" si="0"/>
        <v>20</v>
      </c>
    </row>
    <row r="56" spans="1:14" x14ac:dyDescent="0.25">
      <c r="A56">
        <v>4136</v>
      </c>
      <c r="B56">
        <v>2</v>
      </c>
      <c r="C56">
        <v>19</v>
      </c>
      <c r="D56">
        <v>26.67</v>
      </c>
      <c r="E56">
        <v>27</v>
      </c>
      <c r="F56">
        <v>2</v>
      </c>
      <c r="G56">
        <v>2</v>
      </c>
      <c r="H56" s="1">
        <v>22.22</v>
      </c>
      <c r="I56" s="1">
        <v>22.5</v>
      </c>
      <c r="J56" s="1">
        <v>0.28000000000000003</v>
      </c>
      <c r="K56" s="1">
        <v>1.99</v>
      </c>
      <c r="L56" s="1">
        <v>24.209999999999997</v>
      </c>
      <c r="M56">
        <v>1</v>
      </c>
      <c r="N56" s="27">
        <f t="shared" si="0"/>
        <v>21.5</v>
      </c>
    </row>
    <row r="57" spans="1:14" x14ac:dyDescent="0.25">
      <c r="A57">
        <v>4143</v>
      </c>
      <c r="B57">
        <v>2</v>
      </c>
      <c r="C57">
        <v>28</v>
      </c>
      <c r="D57">
        <v>31.77</v>
      </c>
      <c r="E57">
        <v>39</v>
      </c>
      <c r="F57">
        <v>2</v>
      </c>
      <c r="G57">
        <v>1</v>
      </c>
      <c r="H57" s="1">
        <v>21.52</v>
      </c>
      <c r="I57" s="1">
        <v>21.5</v>
      </c>
      <c r="J57" s="1">
        <v>-0.02</v>
      </c>
      <c r="K57" s="1">
        <v>1.94</v>
      </c>
      <c r="L57" s="1">
        <v>23.46</v>
      </c>
      <c r="M57">
        <v>2</v>
      </c>
      <c r="N57" s="27">
        <f t="shared" si="0"/>
        <v>20.5</v>
      </c>
    </row>
    <row r="58" spans="1:14" x14ac:dyDescent="0.25">
      <c r="A58">
        <v>4146</v>
      </c>
      <c r="B58">
        <v>2</v>
      </c>
      <c r="C58">
        <v>23</v>
      </c>
      <c r="D58">
        <v>20.05</v>
      </c>
      <c r="E58">
        <v>24</v>
      </c>
      <c r="F58">
        <v>2</v>
      </c>
      <c r="G58">
        <v>2</v>
      </c>
      <c r="H58" s="1">
        <v>22.72</v>
      </c>
      <c r="I58" s="1">
        <v>23</v>
      </c>
      <c r="J58" s="1">
        <v>0.28000000000000003</v>
      </c>
      <c r="K58" s="1">
        <v>3.01</v>
      </c>
      <c r="L58" s="1">
        <v>25.729999999999997</v>
      </c>
      <c r="M58">
        <v>2</v>
      </c>
      <c r="N58" s="27">
        <f t="shared" si="0"/>
        <v>22</v>
      </c>
    </row>
    <row r="59" spans="1:14" x14ac:dyDescent="0.25">
      <c r="A59">
        <v>4147</v>
      </c>
      <c r="B59">
        <v>2</v>
      </c>
      <c r="C59">
        <v>25</v>
      </c>
      <c r="D59">
        <v>30.49</v>
      </c>
      <c r="E59">
        <v>20</v>
      </c>
      <c r="F59">
        <v>1</v>
      </c>
      <c r="G59">
        <v>2</v>
      </c>
      <c r="H59" s="1">
        <v>22.23</v>
      </c>
      <c r="I59" s="1">
        <v>22</v>
      </c>
      <c r="J59" s="1">
        <v>-0.23</v>
      </c>
      <c r="K59" s="1">
        <v>4.3600000000000003</v>
      </c>
      <c r="L59" s="1">
        <v>26.59</v>
      </c>
      <c r="M59">
        <v>1</v>
      </c>
      <c r="N59" s="27">
        <f t="shared" si="0"/>
        <v>21</v>
      </c>
    </row>
    <row r="60" spans="1:14" x14ac:dyDescent="0.25">
      <c r="A60">
        <v>4150</v>
      </c>
      <c r="B60">
        <v>2</v>
      </c>
      <c r="C60">
        <v>25</v>
      </c>
      <c r="D60">
        <v>23.88</v>
      </c>
      <c r="E60">
        <v>28</v>
      </c>
      <c r="F60">
        <v>2</v>
      </c>
      <c r="G60">
        <v>1</v>
      </c>
      <c r="H60" s="1">
        <v>21.72</v>
      </c>
      <c r="I60" s="1">
        <v>21</v>
      </c>
      <c r="J60" s="1">
        <v>-0.72</v>
      </c>
      <c r="K60" s="1">
        <v>1.71</v>
      </c>
      <c r="L60" s="1">
        <v>23.43</v>
      </c>
      <c r="M60">
        <v>2</v>
      </c>
      <c r="N60" s="27">
        <f t="shared" si="0"/>
        <v>20</v>
      </c>
    </row>
    <row r="61" spans="1:14" x14ac:dyDescent="0.25">
      <c r="A61">
        <v>4151</v>
      </c>
      <c r="B61">
        <v>1</v>
      </c>
      <c r="C61">
        <v>41</v>
      </c>
      <c r="D61">
        <v>33.89</v>
      </c>
      <c r="E61">
        <v>26</v>
      </c>
      <c r="F61">
        <v>2</v>
      </c>
      <c r="G61">
        <v>2</v>
      </c>
      <c r="H61" s="1">
        <v>23.23</v>
      </c>
      <c r="I61" s="1">
        <v>21.5</v>
      </c>
      <c r="J61" s="1">
        <v>-1.73</v>
      </c>
      <c r="K61" s="1">
        <v>1.81</v>
      </c>
      <c r="L61" s="1">
        <v>25.04</v>
      </c>
      <c r="M61">
        <v>2</v>
      </c>
      <c r="N61" s="27">
        <f t="shared" si="0"/>
        <v>20.5</v>
      </c>
    </row>
    <row r="62" spans="1:14" x14ac:dyDescent="0.25">
      <c r="A62">
        <v>4153</v>
      </c>
      <c r="B62">
        <v>1</v>
      </c>
      <c r="C62">
        <v>25</v>
      </c>
      <c r="D62">
        <v>17.96</v>
      </c>
      <c r="E62">
        <v>19</v>
      </c>
      <c r="F62">
        <v>1</v>
      </c>
      <c r="G62">
        <v>3</v>
      </c>
      <c r="H62" s="1">
        <v>25.8</v>
      </c>
      <c r="I62" s="1">
        <v>23</v>
      </c>
      <c r="J62" s="1">
        <v>-2.8</v>
      </c>
      <c r="K62" s="1">
        <v>2.2000000000000002</v>
      </c>
      <c r="L62" s="1">
        <v>28</v>
      </c>
      <c r="M62">
        <v>1</v>
      </c>
      <c r="N62" s="27">
        <f t="shared" si="0"/>
        <v>22</v>
      </c>
    </row>
    <row r="63" spans="1:14" x14ac:dyDescent="0.25">
      <c r="A63">
        <v>4157</v>
      </c>
      <c r="B63">
        <v>2</v>
      </c>
      <c r="C63">
        <v>25</v>
      </c>
      <c r="D63">
        <v>21.26</v>
      </c>
      <c r="E63">
        <v>27</v>
      </c>
      <c r="F63">
        <v>2</v>
      </c>
      <c r="G63">
        <v>1</v>
      </c>
      <c r="H63" s="1">
        <v>21.47</v>
      </c>
      <c r="I63" s="1">
        <v>21.5</v>
      </c>
      <c r="J63" s="1">
        <v>0.03</v>
      </c>
      <c r="K63" s="1">
        <v>2.29</v>
      </c>
      <c r="L63" s="1">
        <v>23.759999999999998</v>
      </c>
      <c r="M63">
        <v>2</v>
      </c>
      <c r="N63" s="27">
        <f t="shared" si="0"/>
        <v>20.5</v>
      </c>
    </row>
    <row r="64" spans="1:14" x14ac:dyDescent="0.25">
      <c r="A64">
        <v>4158</v>
      </c>
      <c r="B64">
        <v>2</v>
      </c>
      <c r="C64">
        <v>20</v>
      </c>
      <c r="D64">
        <v>17.850000000000001</v>
      </c>
      <c r="E64">
        <v>26</v>
      </c>
      <c r="F64">
        <v>2</v>
      </c>
      <c r="G64">
        <v>2</v>
      </c>
      <c r="H64" s="1">
        <v>22.07</v>
      </c>
      <c r="I64" s="1">
        <v>22.5</v>
      </c>
      <c r="J64" s="1">
        <v>0.43</v>
      </c>
      <c r="K64" s="1">
        <v>1.61</v>
      </c>
      <c r="L64" s="1">
        <v>23.68</v>
      </c>
      <c r="M64">
        <v>1</v>
      </c>
      <c r="N64" s="27">
        <f t="shared" si="0"/>
        <v>21.5</v>
      </c>
    </row>
    <row r="65" spans="1:14" x14ac:dyDescent="0.25">
      <c r="A65">
        <v>4160</v>
      </c>
      <c r="B65">
        <v>2</v>
      </c>
      <c r="C65">
        <v>37</v>
      </c>
      <c r="D65">
        <v>35.14</v>
      </c>
      <c r="E65">
        <v>21</v>
      </c>
      <c r="F65">
        <v>1</v>
      </c>
      <c r="G65">
        <v>2</v>
      </c>
      <c r="H65" s="1">
        <v>25.15</v>
      </c>
      <c r="I65" s="1">
        <v>22.5</v>
      </c>
      <c r="J65" s="1">
        <v>-2.65</v>
      </c>
      <c r="K65" s="1">
        <v>0.49</v>
      </c>
      <c r="L65" s="1">
        <v>25.639999999999997</v>
      </c>
      <c r="M65">
        <v>2</v>
      </c>
      <c r="N65" s="27">
        <f t="shared" si="0"/>
        <v>21.5</v>
      </c>
    </row>
    <row r="66" spans="1:14" x14ac:dyDescent="0.25">
      <c r="A66">
        <v>4162</v>
      </c>
      <c r="B66">
        <v>2</v>
      </c>
      <c r="C66">
        <v>29</v>
      </c>
      <c r="D66">
        <v>27.14</v>
      </c>
      <c r="E66">
        <v>19</v>
      </c>
      <c r="F66">
        <v>1</v>
      </c>
      <c r="G66">
        <v>2</v>
      </c>
      <c r="H66" s="1">
        <v>23.13</v>
      </c>
      <c r="I66" s="1">
        <v>23.5</v>
      </c>
      <c r="J66" s="1">
        <v>0.37</v>
      </c>
      <c r="K66" s="1">
        <v>2.7</v>
      </c>
      <c r="L66" s="1">
        <v>25.83</v>
      </c>
      <c r="M66">
        <v>2</v>
      </c>
      <c r="N66" s="27">
        <f t="shared" si="0"/>
        <v>22.5</v>
      </c>
    </row>
    <row r="67" spans="1:14" x14ac:dyDescent="0.25">
      <c r="A67">
        <v>4163</v>
      </c>
      <c r="B67">
        <v>1</v>
      </c>
      <c r="C67">
        <v>26</v>
      </c>
      <c r="D67">
        <v>21.6</v>
      </c>
      <c r="E67">
        <v>26</v>
      </c>
      <c r="F67">
        <v>2</v>
      </c>
      <c r="G67">
        <v>2</v>
      </c>
      <c r="H67" s="1">
        <v>24.1</v>
      </c>
      <c r="I67" s="1">
        <v>22</v>
      </c>
      <c r="J67" s="1">
        <v>-2.1</v>
      </c>
      <c r="K67" s="1">
        <v>1.29</v>
      </c>
      <c r="L67" s="1">
        <v>25.39</v>
      </c>
      <c r="M67">
        <v>1</v>
      </c>
      <c r="N67" s="27">
        <f t="shared" ref="N67:N117" si="1">I67-1</f>
        <v>21</v>
      </c>
    </row>
    <row r="68" spans="1:14" x14ac:dyDescent="0.25">
      <c r="A68">
        <v>4165</v>
      </c>
      <c r="B68">
        <v>1</v>
      </c>
      <c r="C68">
        <v>23</v>
      </c>
      <c r="D68">
        <v>22.45</v>
      </c>
      <c r="E68">
        <v>26</v>
      </c>
      <c r="F68">
        <v>2</v>
      </c>
      <c r="G68">
        <v>2</v>
      </c>
      <c r="H68" s="1">
        <v>23.43</v>
      </c>
      <c r="I68" s="1">
        <v>22</v>
      </c>
      <c r="J68" s="1">
        <v>-1.43</v>
      </c>
      <c r="K68" s="1">
        <v>0.75</v>
      </c>
      <c r="L68" s="1">
        <v>24.18</v>
      </c>
      <c r="M68">
        <v>2</v>
      </c>
      <c r="N68" s="27">
        <f t="shared" si="1"/>
        <v>21</v>
      </c>
    </row>
    <row r="69" spans="1:14" x14ac:dyDescent="0.25">
      <c r="A69">
        <v>4167</v>
      </c>
      <c r="B69">
        <v>1</v>
      </c>
      <c r="C69">
        <v>34</v>
      </c>
      <c r="D69">
        <v>33.64</v>
      </c>
      <c r="E69">
        <v>27</v>
      </c>
      <c r="F69">
        <v>2</v>
      </c>
      <c r="G69">
        <v>2</v>
      </c>
      <c r="H69" s="1">
        <v>21.68</v>
      </c>
      <c r="I69" s="1">
        <v>22</v>
      </c>
      <c r="J69" s="1">
        <v>0.32</v>
      </c>
      <c r="K69" s="1">
        <v>1.85</v>
      </c>
      <c r="L69" s="1">
        <v>23.53</v>
      </c>
      <c r="M69">
        <v>2</v>
      </c>
      <c r="N69" s="27">
        <f t="shared" si="1"/>
        <v>21</v>
      </c>
    </row>
    <row r="70" spans="1:14" x14ac:dyDescent="0.25">
      <c r="A70">
        <v>4168</v>
      </c>
      <c r="B70">
        <v>2</v>
      </c>
      <c r="C70">
        <v>26</v>
      </c>
      <c r="D70">
        <v>23.11</v>
      </c>
      <c r="E70">
        <v>28</v>
      </c>
      <c r="F70">
        <v>2</v>
      </c>
      <c r="G70">
        <v>2</v>
      </c>
      <c r="H70" s="1">
        <v>22.18</v>
      </c>
      <c r="I70" s="1">
        <v>22</v>
      </c>
      <c r="J70" s="1">
        <v>-0.18</v>
      </c>
      <c r="K70" s="1">
        <v>0.7</v>
      </c>
      <c r="L70" s="1">
        <v>22.88</v>
      </c>
      <c r="M70">
        <v>1</v>
      </c>
      <c r="N70" s="27">
        <f t="shared" si="1"/>
        <v>21</v>
      </c>
    </row>
    <row r="71" spans="1:14" x14ac:dyDescent="0.25">
      <c r="A71">
        <v>4171</v>
      </c>
      <c r="B71">
        <v>1</v>
      </c>
      <c r="C71">
        <v>28</v>
      </c>
      <c r="D71">
        <v>24.15</v>
      </c>
      <c r="E71">
        <v>27</v>
      </c>
      <c r="F71">
        <v>2</v>
      </c>
      <c r="G71">
        <v>1</v>
      </c>
      <c r="H71" s="1">
        <v>21.57</v>
      </c>
      <c r="I71" s="1">
        <v>22</v>
      </c>
      <c r="J71" s="1">
        <v>0.43</v>
      </c>
      <c r="K71" s="1">
        <v>1.76</v>
      </c>
      <c r="L71" s="1">
        <v>23.330000000000002</v>
      </c>
      <c r="M71">
        <v>1</v>
      </c>
      <c r="N71" s="27">
        <f t="shared" si="1"/>
        <v>21</v>
      </c>
    </row>
    <row r="72" spans="1:14" x14ac:dyDescent="0.25">
      <c r="A72">
        <v>4178</v>
      </c>
      <c r="B72">
        <v>1</v>
      </c>
      <c r="C72">
        <v>22</v>
      </c>
      <c r="D72">
        <v>31.75</v>
      </c>
      <c r="E72">
        <v>32</v>
      </c>
      <c r="F72">
        <v>2</v>
      </c>
      <c r="G72">
        <v>2</v>
      </c>
      <c r="H72" s="1">
        <v>20.57</v>
      </c>
      <c r="I72" s="1">
        <v>21</v>
      </c>
      <c r="J72" s="1">
        <v>0.43</v>
      </c>
      <c r="K72" s="1">
        <v>4.29</v>
      </c>
      <c r="L72" s="1">
        <v>24.86</v>
      </c>
      <c r="M72">
        <v>2</v>
      </c>
      <c r="N72" s="27">
        <f t="shared" si="1"/>
        <v>20</v>
      </c>
    </row>
    <row r="73" spans="1:14" x14ac:dyDescent="0.25">
      <c r="A73">
        <v>5003</v>
      </c>
      <c r="B73">
        <v>1</v>
      </c>
      <c r="C73">
        <v>24</v>
      </c>
      <c r="D73">
        <v>27.7</v>
      </c>
      <c r="E73">
        <v>23</v>
      </c>
      <c r="F73">
        <v>2</v>
      </c>
      <c r="G73">
        <v>1</v>
      </c>
      <c r="H73" s="1">
        <v>23.9</v>
      </c>
      <c r="I73" s="1">
        <v>24</v>
      </c>
      <c r="J73" s="1">
        <v>0.1</v>
      </c>
      <c r="K73" s="1">
        <v>0.84</v>
      </c>
      <c r="L73" s="1">
        <v>24.74</v>
      </c>
      <c r="M73">
        <v>1</v>
      </c>
      <c r="N73" s="27">
        <f t="shared" si="1"/>
        <v>23</v>
      </c>
    </row>
    <row r="74" spans="1:14" x14ac:dyDescent="0.25">
      <c r="A74">
        <v>5004</v>
      </c>
      <c r="B74">
        <v>2</v>
      </c>
      <c r="C74">
        <v>18</v>
      </c>
      <c r="D74">
        <v>18.809999999999999</v>
      </c>
      <c r="E74">
        <v>27</v>
      </c>
      <c r="F74">
        <v>2</v>
      </c>
      <c r="G74">
        <v>2</v>
      </c>
      <c r="H74" s="1">
        <v>22.15</v>
      </c>
      <c r="I74" s="1">
        <v>22.5</v>
      </c>
      <c r="J74" s="1">
        <v>0.35</v>
      </c>
      <c r="K74" s="1">
        <v>1.68</v>
      </c>
      <c r="L74" s="1">
        <v>23.83</v>
      </c>
      <c r="M74">
        <v>2</v>
      </c>
      <c r="N74" s="27">
        <f t="shared" si="1"/>
        <v>21.5</v>
      </c>
    </row>
    <row r="75" spans="1:14" x14ac:dyDescent="0.25">
      <c r="A75">
        <v>5005</v>
      </c>
      <c r="B75">
        <v>1</v>
      </c>
      <c r="C75">
        <v>21</v>
      </c>
      <c r="D75">
        <v>20.07</v>
      </c>
      <c r="E75">
        <v>29</v>
      </c>
      <c r="F75">
        <v>2</v>
      </c>
      <c r="G75">
        <v>1</v>
      </c>
      <c r="H75" s="1">
        <v>23.4</v>
      </c>
      <c r="I75" s="1">
        <v>22</v>
      </c>
      <c r="J75" s="1">
        <v>-1.4</v>
      </c>
      <c r="K75" s="1">
        <v>1.46</v>
      </c>
      <c r="L75" s="1">
        <v>24.86</v>
      </c>
      <c r="M75">
        <v>1</v>
      </c>
      <c r="N75" s="27">
        <f t="shared" si="1"/>
        <v>21</v>
      </c>
    </row>
    <row r="76" spans="1:14" x14ac:dyDescent="0.25">
      <c r="A76">
        <v>5008</v>
      </c>
      <c r="B76">
        <v>1</v>
      </c>
      <c r="C76">
        <v>52</v>
      </c>
      <c r="D76">
        <v>26.13</v>
      </c>
      <c r="E76">
        <v>18</v>
      </c>
      <c r="F76">
        <v>1</v>
      </c>
      <c r="G76">
        <v>3</v>
      </c>
      <c r="H76" s="1">
        <v>23</v>
      </c>
      <c r="I76" s="1">
        <v>23</v>
      </c>
      <c r="J76" s="1">
        <v>0</v>
      </c>
      <c r="L76" s="1"/>
      <c r="M76">
        <v>1</v>
      </c>
      <c r="N76" s="27">
        <f t="shared" si="1"/>
        <v>22</v>
      </c>
    </row>
    <row r="77" spans="1:14" x14ac:dyDescent="0.25">
      <c r="A77">
        <v>5012</v>
      </c>
      <c r="B77">
        <v>2</v>
      </c>
      <c r="C77">
        <v>22</v>
      </c>
      <c r="D77">
        <v>24.74</v>
      </c>
      <c r="E77">
        <v>22</v>
      </c>
      <c r="F77">
        <v>1</v>
      </c>
      <c r="G77">
        <v>2</v>
      </c>
      <c r="H77" s="1">
        <v>23.5</v>
      </c>
      <c r="I77" s="1">
        <v>22</v>
      </c>
      <c r="J77" s="1">
        <v>-1.5</v>
      </c>
      <c r="K77" s="1">
        <v>0.3</v>
      </c>
      <c r="L77" s="1">
        <v>23.8</v>
      </c>
      <c r="M77">
        <v>1</v>
      </c>
      <c r="N77" s="27">
        <f t="shared" si="1"/>
        <v>21</v>
      </c>
    </row>
    <row r="78" spans="1:14" x14ac:dyDescent="0.25">
      <c r="A78">
        <v>5016</v>
      </c>
      <c r="B78">
        <v>1</v>
      </c>
      <c r="C78">
        <v>24</v>
      </c>
      <c r="D78">
        <v>29.22</v>
      </c>
      <c r="E78">
        <v>21</v>
      </c>
      <c r="F78">
        <v>1</v>
      </c>
      <c r="G78">
        <v>2</v>
      </c>
      <c r="H78" s="1">
        <v>22.7</v>
      </c>
      <c r="I78" s="1">
        <v>22</v>
      </c>
      <c r="J78" s="1">
        <v>-0.7</v>
      </c>
      <c r="K78" s="1">
        <v>4.8</v>
      </c>
      <c r="L78" s="1">
        <v>27.5</v>
      </c>
      <c r="M78">
        <v>2</v>
      </c>
      <c r="N78" s="27">
        <f t="shared" si="1"/>
        <v>21</v>
      </c>
    </row>
    <row r="79" spans="1:14" x14ac:dyDescent="0.25">
      <c r="A79">
        <v>5021</v>
      </c>
      <c r="B79">
        <v>2</v>
      </c>
      <c r="C79">
        <v>19</v>
      </c>
      <c r="D79">
        <v>31.25</v>
      </c>
      <c r="E79">
        <v>27</v>
      </c>
      <c r="F79">
        <v>2</v>
      </c>
      <c r="G79">
        <v>2</v>
      </c>
      <c r="H79" s="1">
        <v>22.28</v>
      </c>
      <c r="I79" s="1">
        <v>22.5</v>
      </c>
      <c r="J79" s="1">
        <v>0.22</v>
      </c>
      <c r="K79" s="1">
        <v>2.4300000000000002</v>
      </c>
      <c r="L79" s="1">
        <v>24.71</v>
      </c>
      <c r="M79">
        <v>2</v>
      </c>
      <c r="N79" s="27">
        <f t="shared" si="1"/>
        <v>21.5</v>
      </c>
    </row>
    <row r="80" spans="1:14" x14ac:dyDescent="0.25">
      <c r="A80">
        <v>5024</v>
      </c>
      <c r="B80">
        <v>2</v>
      </c>
      <c r="C80">
        <v>23</v>
      </c>
      <c r="D80">
        <v>20.45</v>
      </c>
      <c r="E80">
        <v>21</v>
      </c>
      <c r="F80">
        <v>1</v>
      </c>
      <c r="G80">
        <v>2</v>
      </c>
      <c r="H80" s="1">
        <v>25.13</v>
      </c>
      <c r="I80" s="1">
        <v>23</v>
      </c>
      <c r="J80" s="1">
        <v>-2.13</v>
      </c>
      <c r="K80" s="1">
        <v>0.69</v>
      </c>
      <c r="L80" s="1">
        <v>25.82</v>
      </c>
      <c r="M80">
        <v>2</v>
      </c>
      <c r="N80" s="1">
        <f t="shared" si="1"/>
        <v>22</v>
      </c>
    </row>
    <row r="81" spans="1:14" x14ac:dyDescent="0.25">
      <c r="A81">
        <v>5026</v>
      </c>
      <c r="B81">
        <v>2</v>
      </c>
      <c r="C81">
        <v>21</v>
      </c>
      <c r="D81">
        <v>29.72</v>
      </c>
      <c r="E81">
        <v>25</v>
      </c>
      <c r="F81">
        <v>2</v>
      </c>
      <c r="G81">
        <v>1</v>
      </c>
      <c r="H81" s="1">
        <v>24.35</v>
      </c>
      <c r="I81" s="1">
        <v>22.5</v>
      </c>
      <c r="J81" s="1">
        <v>-1.85</v>
      </c>
      <c r="K81" s="1">
        <v>1.57</v>
      </c>
      <c r="L81" s="1">
        <v>25.92</v>
      </c>
      <c r="M81">
        <v>1</v>
      </c>
      <c r="N81" s="1">
        <f t="shared" si="1"/>
        <v>21.5</v>
      </c>
    </row>
    <row r="82" spans="1:14" x14ac:dyDescent="0.25">
      <c r="A82">
        <v>6001</v>
      </c>
      <c r="B82">
        <v>2</v>
      </c>
      <c r="C82">
        <v>25</v>
      </c>
      <c r="D82">
        <v>22.13</v>
      </c>
      <c r="E82">
        <v>22</v>
      </c>
      <c r="F82">
        <v>1</v>
      </c>
      <c r="G82">
        <v>1</v>
      </c>
      <c r="H82" s="1">
        <v>22.58</v>
      </c>
      <c r="I82" s="1">
        <v>22</v>
      </c>
      <c r="J82" s="1">
        <v>-0.57999999999999996</v>
      </c>
      <c r="K82" s="1">
        <v>2.44</v>
      </c>
      <c r="L82" s="1">
        <v>25.02</v>
      </c>
      <c r="M82">
        <v>1</v>
      </c>
      <c r="N82" s="1">
        <f t="shared" si="1"/>
        <v>21</v>
      </c>
    </row>
    <row r="83" spans="1:14" x14ac:dyDescent="0.25">
      <c r="A83">
        <v>6003</v>
      </c>
      <c r="B83">
        <v>2</v>
      </c>
      <c r="C83">
        <v>29</v>
      </c>
      <c r="D83">
        <v>22.23</v>
      </c>
      <c r="E83">
        <v>25</v>
      </c>
      <c r="F83">
        <v>2</v>
      </c>
      <c r="G83">
        <v>2</v>
      </c>
      <c r="H83" s="1">
        <v>23.05</v>
      </c>
      <c r="I83" s="1">
        <v>23</v>
      </c>
      <c r="J83" s="1">
        <v>-0.05</v>
      </c>
      <c r="K83" s="1">
        <v>2.0499999999999998</v>
      </c>
      <c r="L83" s="1">
        <v>25.1</v>
      </c>
      <c r="M83">
        <v>2</v>
      </c>
      <c r="N83" s="1">
        <f t="shared" si="1"/>
        <v>22</v>
      </c>
    </row>
    <row r="84" spans="1:14" x14ac:dyDescent="0.25">
      <c r="A84">
        <v>6004</v>
      </c>
      <c r="B84">
        <v>1</v>
      </c>
      <c r="C84">
        <v>20</v>
      </c>
      <c r="D84">
        <v>25.31</v>
      </c>
      <c r="E84">
        <v>30</v>
      </c>
      <c r="F84">
        <v>2</v>
      </c>
      <c r="G84">
        <v>1</v>
      </c>
      <c r="H84" s="1">
        <v>23.43</v>
      </c>
      <c r="I84" s="1">
        <v>24</v>
      </c>
      <c r="J84" s="1">
        <v>0.56999999999999995</v>
      </c>
      <c r="K84" s="1">
        <v>2.6</v>
      </c>
      <c r="L84" s="1">
        <v>26.03</v>
      </c>
      <c r="M84">
        <v>1</v>
      </c>
      <c r="N84" s="1">
        <f t="shared" si="1"/>
        <v>23</v>
      </c>
    </row>
    <row r="85" spans="1:14" x14ac:dyDescent="0.25">
      <c r="A85">
        <v>6007</v>
      </c>
      <c r="B85">
        <v>2</v>
      </c>
      <c r="C85">
        <v>24</v>
      </c>
      <c r="D85">
        <v>20.72</v>
      </c>
      <c r="E85">
        <v>25</v>
      </c>
      <c r="F85">
        <v>2</v>
      </c>
      <c r="G85">
        <v>2</v>
      </c>
      <c r="H85" s="1">
        <v>22.03</v>
      </c>
      <c r="I85" s="1">
        <v>23</v>
      </c>
      <c r="J85" s="1">
        <v>0.97</v>
      </c>
      <c r="K85" s="1">
        <v>3.84</v>
      </c>
      <c r="L85" s="1">
        <v>25.87</v>
      </c>
      <c r="M85">
        <v>2</v>
      </c>
      <c r="N85" s="1">
        <f t="shared" si="1"/>
        <v>22</v>
      </c>
    </row>
    <row r="86" spans="1:14" x14ac:dyDescent="0.25">
      <c r="A86">
        <v>6009</v>
      </c>
      <c r="B86">
        <v>2</v>
      </c>
      <c r="C86">
        <v>31</v>
      </c>
      <c r="D86">
        <v>20.7</v>
      </c>
      <c r="E86">
        <v>24</v>
      </c>
      <c r="F86">
        <v>2</v>
      </c>
      <c r="G86">
        <v>2</v>
      </c>
      <c r="H86" s="1">
        <v>24.07</v>
      </c>
      <c r="I86" s="1">
        <v>23</v>
      </c>
      <c r="J86" s="1">
        <v>-1.07</v>
      </c>
      <c r="K86" s="1">
        <v>1.65</v>
      </c>
      <c r="L86" s="1">
        <v>25.72</v>
      </c>
      <c r="M86">
        <v>1</v>
      </c>
      <c r="N86" s="1">
        <f t="shared" si="1"/>
        <v>22</v>
      </c>
    </row>
    <row r="87" spans="1:14" x14ac:dyDescent="0.25">
      <c r="A87">
        <v>6012</v>
      </c>
      <c r="B87">
        <v>1</v>
      </c>
      <c r="C87">
        <v>28</v>
      </c>
      <c r="D87">
        <v>22.23</v>
      </c>
      <c r="E87">
        <v>37</v>
      </c>
      <c r="F87">
        <v>2</v>
      </c>
      <c r="G87">
        <v>2</v>
      </c>
      <c r="H87" s="1">
        <v>22.08</v>
      </c>
      <c r="I87" s="1">
        <v>22</v>
      </c>
      <c r="J87" s="1">
        <v>-0.08</v>
      </c>
      <c r="K87" s="1">
        <v>3.84</v>
      </c>
      <c r="L87" s="1">
        <v>25.919999999999998</v>
      </c>
      <c r="M87">
        <v>2</v>
      </c>
      <c r="N87" s="1">
        <f t="shared" si="1"/>
        <v>21</v>
      </c>
    </row>
    <row r="88" spans="1:14" x14ac:dyDescent="0.25">
      <c r="A88">
        <v>6015</v>
      </c>
      <c r="B88">
        <v>1</v>
      </c>
      <c r="C88">
        <v>24</v>
      </c>
      <c r="D88">
        <v>20.23</v>
      </c>
      <c r="E88">
        <v>20</v>
      </c>
      <c r="F88">
        <v>1</v>
      </c>
      <c r="G88">
        <v>2</v>
      </c>
      <c r="H88" s="1">
        <v>22.72</v>
      </c>
      <c r="I88" s="1">
        <v>24.5</v>
      </c>
      <c r="J88" s="1">
        <v>1.78</v>
      </c>
      <c r="K88" s="1">
        <v>3.14</v>
      </c>
      <c r="L88" s="1">
        <v>25.86</v>
      </c>
      <c r="M88">
        <v>1</v>
      </c>
      <c r="N88" s="1">
        <f t="shared" si="1"/>
        <v>23.5</v>
      </c>
    </row>
    <row r="89" spans="1:14" x14ac:dyDescent="0.25">
      <c r="A89">
        <v>6016</v>
      </c>
      <c r="B89">
        <v>2</v>
      </c>
      <c r="C89">
        <v>26</v>
      </c>
      <c r="D89">
        <v>29.05</v>
      </c>
      <c r="E89">
        <v>19</v>
      </c>
      <c r="F89">
        <v>1</v>
      </c>
      <c r="G89">
        <v>2</v>
      </c>
      <c r="H89" s="1">
        <v>25.2</v>
      </c>
      <c r="I89" s="1">
        <v>24</v>
      </c>
      <c r="J89" s="1">
        <v>-1.2</v>
      </c>
      <c r="K89" s="1">
        <v>1.62</v>
      </c>
      <c r="L89" s="1">
        <v>26.82</v>
      </c>
      <c r="M89">
        <v>2</v>
      </c>
      <c r="N89" s="1">
        <f t="shared" si="1"/>
        <v>23</v>
      </c>
    </row>
    <row r="90" spans="1:14" x14ac:dyDescent="0.25">
      <c r="A90">
        <v>6020</v>
      </c>
      <c r="B90">
        <v>1</v>
      </c>
      <c r="C90">
        <v>53</v>
      </c>
      <c r="D90">
        <v>26.03</v>
      </c>
      <c r="E90">
        <v>22</v>
      </c>
      <c r="F90">
        <v>1</v>
      </c>
      <c r="G90">
        <v>2</v>
      </c>
      <c r="H90" s="1">
        <v>24.73</v>
      </c>
      <c r="I90" s="1">
        <v>22.5</v>
      </c>
      <c r="J90" s="1">
        <v>-2.23</v>
      </c>
      <c r="K90" s="1">
        <v>0.4</v>
      </c>
      <c r="L90" s="1">
        <v>25.13</v>
      </c>
      <c r="M90">
        <v>2</v>
      </c>
      <c r="N90" s="1">
        <f t="shared" si="1"/>
        <v>21.5</v>
      </c>
    </row>
    <row r="91" spans="1:14" x14ac:dyDescent="0.25">
      <c r="A91">
        <v>6032</v>
      </c>
      <c r="B91">
        <v>1</v>
      </c>
      <c r="C91">
        <v>29</v>
      </c>
      <c r="D91">
        <v>30.42</v>
      </c>
      <c r="E91">
        <v>26</v>
      </c>
      <c r="F91">
        <v>2</v>
      </c>
      <c r="G91">
        <v>2</v>
      </c>
      <c r="H91" s="1">
        <v>22.15</v>
      </c>
      <c r="I91" s="1">
        <v>22.5</v>
      </c>
      <c r="J91" s="1">
        <v>0.35</v>
      </c>
      <c r="K91" s="1">
        <v>2.91</v>
      </c>
      <c r="L91" s="1">
        <v>25.06</v>
      </c>
      <c r="M91">
        <v>1</v>
      </c>
      <c r="N91" s="1">
        <f t="shared" si="1"/>
        <v>21.5</v>
      </c>
    </row>
    <row r="92" spans="1:14" x14ac:dyDescent="0.25">
      <c r="A92">
        <v>6041</v>
      </c>
      <c r="B92">
        <v>2</v>
      </c>
      <c r="C92">
        <v>38</v>
      </c>
      <c r="D92">
        <v>23.44</v>
      </c>
      <c r="E92">
        <v>24</v>
      </c>
      <c r="F92">
        <v>2</v>
      </c>
      <c r="G92">
        <v>1</v>
      </c>
      <c r="H92" s="1">
        <v>22.17</v>
      </c>
      <c r="I92" s="1">
        <v>22</v>
      </c>
      <c r="J92" s="1">
        <v>-0.17</v>
      </c>
      <c r="K92" s="1">
        <v>2.84</v>
      </c>
      <c r="L92" s="1">
        <v>25.01</v>
      </c>
      <c r="M92">
        <v>1</v>
      </c>
      <c r="N92" s="1">
        <f t="shared" si="1"/>
        <v>21</v>
      </c>
    </row>
    <row r="93" spans="1:14" x14ac:dyDescent="0.25">
      <c r="A93">
        <v>6044</v>
      </c>
      <c r="B93">
        <v>1</v>
      </c>
      <c r="C93">
        <v>28</v>
      </c>
      <c r="D93">
        <v>22.55</v>
      </c>
      <c r="E93">
        <v>19</v>
      </c>
      <c r="F93">
        <v>1</v>
      </c>
      <c r="G93">
        <v>3</v>
      </c>
      <c r="H93" s="1">
        <v>24.83</v>
      </c>
      <c r="I93" s="1">
        <v>23</v>
      </c>
      <c r="J93" s="1">
        <v>-1.83</v>
      </c>
      <c r="K93" s="1">
        <v>1.1599999999999999</v>
      </c>
      <c r="L93" s="1">
        <v>25.99</v>
      </c>
      <c r="M93">
        <v>2</v>
      </c>
      <c r="N93" s="1">
        <f t="shared" si="1"/>
        <v>22</v>
      </c>
    </row>
    <row r="94" spans="1:14" x14ac:dyDescent="0.25">
      <c r="A94">
        <v>6047</v>
      </c>
      <c r="B94">
        <v>1</v>
      </c>
      <c r="C94">
        <v>19</v>
      </c>
      <c r="D94">
        <v>20.29</v>
      </c>
      <c r="E94">
        <v>19</v>
      </c>
      <c r="F94">
        <v>1</v>
      </c>
      <c r="G94">
        <v>2</v>
      </c>
      <c r="H94" s="1">
        <v>26.22</v>
      </c>
      <c r="I94" s="1">
        <v>23</v>
      </c>
      <c r="J94" s="1">
        <v>-3.22</v>
      </c>
      <c r="K94" s="1">
        <v>0.71</v>
      </c>
      <c r="L94" s="1">
        <v>26.93</v>
      </c>
      <c r="M94">
        <v>2</v>
      </c>
      <c r="N94" s="1">
        <f t="shared" si="1"/>
        <v>22</v>
      </c>
    </row>
    <row r="95" spans="1:14" x14ac:dyDescent="0.25">
      <c r="A95">
        <v>6056</v>
      </c>
      <c r="B95">
        <v>2</v>
      </c>
      <c r="C95">
        <v>20</v>
      </c>
      <c r="D95">
        <v>21.11</v>
      </c>
      <c r="E95">
        <v>28</v>
      </c>
      <c r="F95">
        <v>2</v>
      </c>
      <c r="G95">
        <v>1</v>
      </c>
      <c r="H95" s="1">
        <v>22.08</v>
      </c>
      <c r="I95" s="1">
        <v>22</v>
      </c>
      <c r="J95" s="1">
        <v>-0.08</v>
      </c>
      <c r="K95" s="1">
        <v>1.9</v>
      </c>
      <c r="L95" s="1">
        <v>23.979999999999997</v>
      </c>
      <c r="M95">
        <v>1</v>
      </c>
      <c r="N95" s="1">
        <f t="shared" si="1"/>
        <v>21</v>
      </c>
    </row>
    <row r="96" spans="1:14" x14ac:dyDescent="0.25">
      <c r="A96">
        <v>6057</v>
      </c>
      <c r="B96">
        <v>1</v>
      </c>
      <c r="C96">
        <v>37</v>
      </c>
      <c r="D96">
        <v>25.21</v>
      </c>
      <c r="E96">
        <v>25</v>
      </c>
      <c r="F96">
        <v>2</v>
      </c>
      <c r="G96">
        <v>1</v>
      </c>
      <c r="H96" s="1">
        <v>21.28</v>
      </c>
      <c r="I96" s="1">
        <v>22</v>
      </c>
      <c r="J96" s="1">
        <v>0.72</v>
      </c>
      <c r="K96" s="1">
        <v>2.88</v>
      </c>
      <c r="L96" s="1">
        <v>24.16</v>
      </c>
      <c r="M96">
        <v>2</v>
      </c>
      <c r="N96" s="1">
        <f t="shared" si="1"/>
        <v>21</v>
      </c>
    </row>
    <row r="97" spans="1:14" x14ac:dyDescent="0.25">
      <c r="A97">
        <v>6063</v>
      </c>
      <c r="B97">
        <v>1</v>
      </c>
      <c r="C97">
        <v>20</v>
      </c>
      <c r="D97">
        <v>26</v>
      </c>
      <c r="E97">
        <v>21</v>
      </c>
      <c r="F97">
        <v>1</v>
      </c>
      <c r="G97">
        <v>2</v>
      </c>
      <c r="H97" s="1">
        <v>25.38</v>
      </c>
      <c r="I97" s="1">
        <v>24</v>
      </c>
      <c r="J97" s="1">
        <v>-1.38</v>
      </c>
      <c r="K97" s="1">
        <v>2.21</v>
      </c>
      <c r="L97" s="1">
        <v>27.59</v>
      </c>
      <c r="M97">
        <v>1</v>
      </c>
      <c r="N97" s="1">
        <f t="shared" si="1"/>
        <v>23</v>
      </c>
    </row>
    <row r="98" spans="1:14" x14ac:dyDescent="0.25">
      <c r="A98">
        <v>6064</v>
      </c>
      <c r="B98">
        <v>1</v>
      </c>
      <c r="C98">
        <v>25</v>
      </c>
      <c r="D98">
        <v>22.98</v>
      </c>
      <c r="E98">
        <v>21</v>
      </c>
      <c r="F98">
        <v>1</v>
      </c>
      <c r="G98">
        <v>2</v>
      </c>
      <c r="H98" s="1">
        <v>22.9</v>
      </c>
      <c r="I98" s="1">
        <v>22</v>
      </c>
      <c r="J98" s="1">
        <v>-0.9</v>
      </c>
      <c r="K98" s="1">
        <v>2.2599999999999998</v>
      </c>
      <c r="L98" s="1">
        <v>25.159999999999997</v>
      </c>
      <c r="M98">
        <v>1</v>
      </c>
      <c r="N98" s="1">
        <f t="shared" si="1"/>
        <v>21</v>
      </c>
    </row>
    <row r="99" spans="1:14" x14ac:dyDescent="0.25">
      <c r="A99">
        <v>6071</v>
      </c>
      <c r="B99">
        <v>2</v>
      </c>
      <c r="C99">
        <v>43</v>
      </c>
      <c r="D99">
        <v>23.03</v>
      </c>
      <c r="E99">
        <v>21</v>
      </c>
      <c r="F99">
        <v>1</v>
      </c>
      <c r="G99">
        <v>2</v>
      </c>
      <c r="H99" s="1">
        <v>22.18</v>
      </c>
      <c r="I99" s="1">
        <v>22</v>
      </c>
      <c r="J99" s="1">
        <v>-0.18</v>
      </c>
      <c r="K99" s="1">
        <v>1.85</v>
      </c>
      <c r="L99" s="1">
        <v>24.03</v>
      </c>
      <c r="M99">
        <v>1</v>
      </c>
      <c r="N99" s="1">
        <f t="shared" si="1"/>
        <v>21</v>
      </c>
    </row>
    <row r="100" spans="1:14" x14ac:dyDescent="0.25">
      <c r="A100">
        <v>6072</v>
      </c>
      <c r="B100">
        <v>1</v>
      </c>
      <c r="C100">
        <v>36</v>
      </c>
      <c r="D100">
        <v>26.12</v>
      </c>
      <c r="E100">
        <v>21</v>
      </c>
      <c r="F100">
        <v>1</v>
      </c>
      <c r="G100">
        <v>3</v>
      </c>
      <c r="H100" s="1">
        <v>25.63</v>
      </c>
      <c r="I100" s="1">
        <v>22.5</v>
      </c>
      <c r="J100" s="1">
        <v>-3.13</v>
      </c>
      <c r="K100" s="1">
        <v>1.26</v>
      </c>
      <c r="L100" s="1">
        <v>26.89</v>
      </c>
      <c r="M100">
        <v>2</v>
      </c>
      <c r="N100" s="1">
        <f t="shared" si="1"/>
        <v>21.5</v>
      </c>
    </row>
    <row r="101" spans="1:14" x14ac:dyDescent="0.25">
      <c r="A101">
        <v>6074</v>
      </c>
      <c r="B101">
        <v>2</v>
      </c>
      <c r="C101">
        <v>21</v>
      </c>
      <c r="D101">
        <v>27.3</v>
      </c>
      <c r="E101">
        <v>22</v>
      </c>
      <c r="F101">
        <v>1</v>
      </c>
      <c r="G101">
        <v>2</v>
      </c>
      <c r="H101" s="1">
        <v>21.22</v>
      </c>
      <c r="I101" s="1">
        <v>22</v>
      </c>
      <c r="J101" s="1">
        <v>0.78</v>
      </c>
      <c r="K101" s="1">
        <v>1.98</v>
      </c>
      <c r="L101" s="1">
        <v>23.2</v>
      </c>
      <c r="M101">
        <v>1</v>
      </c>
      <c r="N101" s="1">
        <f t="shared" si="1"/>
        <v>21</v>
      </c>
    </row>
    <row r="102" spans="1:14" x14ac:dyDescent="0.25">
      <c r="A102">
        <v>6082</v>
      </c>
      <c r="B102">
        <v>2</v>
      </c>
      <c r="C102">
        <v>39</v>
      </c>
      <c r="D102">
        <v>25.59</v>
      </c>
      <c r="E102">
        <v>25</v>
      </c>
      <c r="F102">
        <v>2</v>
      </c>
      <c r="G102">
        <v>2</v>
      </c>
      <c r="H102" s="1">
        <v>21.9</v>
      </c>
      <c r="I102" s="1">
        <v>22</v>
      </c>
      <c r="J102" s="1">
        <v>0.1</v>
      </c>
      <c r="K102" s="1">
        <v>1.97</v>
      </c>
      <c r="L102" s="1">
        <v>23.869999999999997</v>
      </c>
      <c r="M102">
        <v>2</v>
      </c>
      <c r="N102" s="1">
        <f t="shared" si="1"/>
        <v>21</v>
      </c>
    </row>
    <row r="103" spans="1:14" x14ac:dyDescent="0.25">
      <c r="A103">
        <v>6088</v>
      </c>
      <c r="B103">
        <v>1</v>
      </c>
      <c r="C103">
        <v>17</v>
      </c>
      <c r="D103">
        <v>22.98</v>
      </c>
      <c r="E103">
        <v>24</v>
      </c>
      <c r="F103">
        <v>2</v>
      </c>
      <c r="G103">
        <v>1</v>
      </c>
      <c r="H103" s="1">
        <v>23.28</v>
      </c>
      <c r="I103" s="1">
        <v>23</v>
      </c>
      <c r="J103" s="1">
        <v>-0.28000000000000003</v>
      </c>
      <c r="K103" s="1">
        <v>1.7</v>
      </c>
      <c r="L103" s="1">
        <v>24.98</v>
      </c>
      <c r="M103">
        <v>2</v>
      </c>
      <c r="N103" s="1">
        <f t="shared" si="1"/>
        <v>22</v>
      </c>
    </row>
    <row r="104" spans="1:14" x14ac:dyDescent="0.25">
      <c r="A104">
        <v>6094</v>
      </c>
      <c r="B104">
        <v>2</v>
      </c>
      <c r="C104">
        <v>46</v>
      </c>
      <c r="D104">
        <v>27.76</v>
      </c>
      <c r="E104">
        <v>22</v>
      </c>
      <c r="F104">
        <v>1</v>
      </c>
      <c r="G104">
        <v>1</v>
      </c>
      <c r="H104" s="1">
        <v>21.28</v>
      </c>
      <c r="I104" s="1">
        <v>21</v>
      </c>
      <c r="J104" s="1">
        <v>-0.28000000000000003</v>
      </c>
      <c r="K104" s="1">
        <v>1.73</v>
      </c>
      <c r="L104" s="1">
        <v>23.01</v>
      </c>
      <c r="M104">
        <v>1</v>
      </c>
      <c r="N104" s="1">
        <f t="shared" si="1"/>
        <v>20</v>
      </c>
    </row>
    <row r="105" spans="1:14" x14ac:dyDescent="0.25">
      <c r="A105">
        <v>6096</v>
      </c>
      <c r="B105">
        <v>2</v>
      </c>
      <c r="C105">
        <v>25</v>
      </c>
      <c r="D105">
        <v>19</v>
      </c>
      <c r="E105">
        <v>19</v>
      </c>
      <c r="F105">
        <v>1</v>
      </c>
      <c r="G105">
        <v>1</v>
      </c>
      <c r="H105" s="1">
        <v>22.13</v>
      </c>
      <c r="I105" s="1">
        <v>21</v>
      </c>
      <c r="J105" s="1">
        <f>I105-H105</f>
        <v>-1.129999999999999</v>
      </c>
      <c r="K105" s="1">
        <v>1.87</v>
      </c>
      <c r="L105" s="1">
        <v>24</v>
      </c>
      <c r="M105">
        <v>1</v>
      </c>
      <c r="N105" s="1">
        <f t="shared" si="1"/>
        <v>20</v>
      </c>
    </row>
    <row r="106" spans="1:14" x14ac:dyDescent="0.25">
      <c r="A106" s="7">
        <v>4048</v>
      </c>
      <c r="B106" s="7">
        <v>1</v>
      </c>
      <c r="C106" s="7">
        <v>26</v>
      </c>
      <c r="D106" s="10">
        <v>23.355636914530994</v>
      </c>
      <c r="E106" s="11">
        <v>19</v>
      </c>
      <c r="F106" s="9">
        <v>1</v>
      </c>
      <c r="G106" s="11">
        <v>1</v>
      </c>
      <c r="H106" s="15">
        <v>23</v>
      </c>
      <c r="I106" s="12">
        <v>23.5</v>
      </c>
      <c r="J106" s="15">
        <f>I106-H106</f>
        <v>0.5</v>
      </c>
      <c r="K106" s="15">
        <f>L106-H106</f>
        <v>3.5700000000000003</v>
      </c>
      <c r="L106" s="16">
        <v>26.57</v>
      </c>
      <c r="M106" s="7">
        <v>1</v>
      </c>
      <c r="N106" s="15">
        <f t="shared" si="1"/>
        <v>22.5</v>
      </c>
    </row>
    <row r="107" spans="1:14" x14ac:dyDescent="0.25">
      <c r="A107" s="7">
        <v>4065</v>
      </c>
      <c r="B107" s="7">
        <v>1</v>
      </c>
      <c r="C107" s="7">
        <v>22</v>
      </c>
      <c r="D107" s="10">
        <v>25.661152034778407</v>
      </c>
      <c r="E107" s="11">
        <v>19</v>
      </c>
      <c r="F107" s="9">
        <v>1</v>
      </c>
      <c r="G107" s="11">
        <v>2</v>
      </c>
      <c r="H107" s="15">
        <v>22.5</v>
      </c>
      <c r="I107" s="12">
        <v>23</v>
      </c>
      <c r="J107" s="15">
        <f t="shared" ref="J107:J117" si="2">I107-H107</f>
        <v>0.5</v>
      </c>
      <c r="K107" s="15">
        <f t="shared" ref="K107:K117" si="3">L107-H107</f>
        <v>3.3000000000000007</v>
      </c>
      <c r="L107" s="16">
        <v>25.8</v>
      </c>
      <c r="M107" s="7">
        <v>1</v>
      </c>
      <c r="N107" s="15">
        <f t="shared" si="1"/>
        <v>22</v>
      </c>
    </row>
    <row r="108" spans="1:14" x14ac:dyDescent="0.25">
      <c r="A108" s="7">
        <v>4070</v>
      </c>
      <c r="B108" s="7">
        <v>1</v>
      </c>
      <c r="C108" s="7">
        <v>29</v>
      </c>
      <c r="D108" s="10">
        <v>26.878678134902671</v>
      </c>
      <c r="E108" s="11">
        <v>17</v>
      </c>
      <c r="F108" s="9">
        <v>1</v>
      </c>
      <c r="G108" s="11">
        <v>1</v>
      </c>
      <c r="H108" s="15">
        <v>26.5</v>
      </c>
      <c r="I108" s="12">
        <v>24</v>
      </c>
      <c r="J108" s="15">
        <f t="shared" si="2"/>
        <v>-2.5</v>
      </c>
      <c r="K108" s="15">
        <f t="shared" si="3"/>
        <v>1.3599999999999994</v>
      </c>
      <c r="L108" s="16">
        <v>27.86</v>
      </c>
      <c r="M108" s="7">
        <v>1</v>
      </c>
      <c r="N108" s="15">
        <f t="shared" si="1"/>
        <v>23</v>
      </c>
    </row>
    <row r="109" spans="1:14" x14ac:dyDescent="0.25">
      <c r="A109" s="7">
        <v>4082</v>
      </c>
      <c r="B109" s="7">
        <v>1</v>
      </c>
      <c r="C109" s="7">
        <v>24</v>
      </c>
      <c r="D109" s="10">
        <v>24.898143956541425</v>
      </c>
      <c r="E109" s="11">
        <v>17</v>
      </c>
      <c r="F109" s="9">
        <v>1</v>
      </c>
      <c r="G109" s="11">
        <v>2</v>
      </c>
      <c r="H109" s="15">
        <v>24.5</v>
      </c>
      <c r="I109" s="13">
        <v>23</v>
      </c>
      <c r="J109" s="15">
        <f t="shared" si="2"/>
        <v>-1.5</v>
      </c>
      <c r="K109" s="15">
        <f t="shared" si="3"/>
        <v>0.94999999999999929</v>
      </c>
      <c r="L109" s="16">
        <v>25.45</v>
      </c>
      <c r="M109" s="7">
        <v>1</v>
      </c>
      <c r="N109" s="15">
        <f t="shared" si="1"/>
        <v>22</v>
      </c>
    </row>
    <row r="110" spans="1:14" x14ac:dyDescent="0.25">
      <c r="A110" s="7">
        <v>4106</v>
      </c>
      <c r="B110" s="7">
        <v>1</v>
      </c>
      <c r="C110" s="7">
        <v>34</v>
      </c>
      <c r="D110" s="10">
        <v>30.864197530864196</v>
      </c>
      <c r="E110" s="11">
        <v>28</v>
      </c>
      <c r="F110" s="9">
        <v>2</v>
      </c>
      <c r="G110" s="11">
        <v>1</v>
      </c>
      <c r="H110" s="15">
        <v>21.75</v>
      </c>
      <c r="I110" s="12">
        <v>21.5</v>
      </c>
      <c r="J110" s="15">
        <f t="shared" si="2"/>
        <v>-0.25</v>
      </c>
      <c r="K110" s="15">
        <f t="shared" si="3"/>
        <v>0.62999999999999901</v>
      </c>
      <c r="L110" s="16">
        <v>22.38</v>
      </c>
      <c r="M110" s="7">
        <v>1</v>
      </c>
      <c r="N110" s="15">
        <f t="shared" si="1"/>
        <v>20.5</v>
      </c>
    </row>
    <row r="111" spans="1:14" x14ac:dyDescent="0.25">
      <c r="A111" s="7">
        <v>4138</v>
      </c>
      <c r="B111" s="7">
        <v>1</v>
      </c>
      <c r="C111" s="7">
        <v>19</v>
      </c>
      <c r="D111" s="10">
        <v>23.547880690737831</v>
      </c>
      <c r="E111" s="9">
        <v>25</v>
      </c>
      <c r="F111" s="9">
        <v>2</v>
      </c>
      <c r="G111" s="9">
        <v>2</v>
      </c>
      <c r="H111" s="15">
        <v>24.5</v>
      </c>
      <c r="I111" s="12">
        <v>24</v>
      </c>
      <c r="J111" s="15">
        <f t="shared" si="2"/>
        <v>-0.5</v>
      </c>
      <c r="K111" s="15">
        <f t="shared" si="3"/>
        <v>2.91</v>
      </c>
      <c r="L111" s="16">
        <v>27.41</v>
      </c>
      <c r="M111" s="7">
        <v>1</v>
      </c>
      <c r="N111" s="15">
        <f t="shared" si="1"/>
        <v>23</v>
      </c>
    </row>
    <row r="112" spans="1:14" x14ac:dyDescent="0.25">
      <c r="A112" s="7">
        <v>4156</v>
      </c>
      <c r="B112" s="7">
        <v>2</v>
      </c>
      <c r="C112" s="7">
        <v>25</v>
      </c>
      <c r="D112" s="10">
        <v>32.596371882086174</v>
      </c>
      <c r="E112" s="9">
        <v>24</v>
      </c>
      <c r="F112" s="9">
        <v>2</v>
      </c>
      <c r="G112" s="9">
        <v>2</v>
      </c>
      <c r="H112" s="15">
        <v>24.25</v>
      </c>
      <c r="I112" s="13">
        <v>22</v>
      </c>
      <c r="J112" s="15">
        <f t="shared" si="2"/>
        <v>-2.25</v>
      </c>
      <c r="K112" s="15">
        <f t="shared" si="3"/>
        <v>1.1799999999999997</v>
      </c>
      <c r="L112" s="16">
        <v>25.43</v>
      </c>
      <c r="M112" s="7">
        <v>2</v>
      </c>
      <c r="N112" s="15">
        <f t="shared" si="1"/>
        <v>21</v>
      </c>
    </row>
    <row r="113" spans="1:14" x14ac:dyDescent="0.25">
      <c r="A113" s="7">
        <v>4159</v>
      </c>
      <c r="B113" s="7">
        <v>2</v>
      </c>
      <c r="C113" s="7">
        <v>22</v>
      </c>
      <c r="D113" s="10">
        <v>22.64086462471699</v>
      </c>
      <c r="E113" s="9">
        <v>21</v>
      </c>
      <c r="F113" s="9">
        <v>1</v>
      </c>
      <c r="G113" s="9">
        <v>2</v>
      </c>
      <c r="H113" s="15">
        <v>23.25</v>
      </c>
      <c r="I113" s="13">
        <v>23</v>
      </c>
      <c r="J113" s="15">
        <f t="shared" si="2"/>
        <v>-0.25</v>
      </c>
      <c r="K113" s="15">
        <f t="shared" si="3"/>
        <v>4.1904761904761862</v>
      </c>
      <c r="L113" s="10">
        <v>27.440476190476186</v>
      </c>
      <c r="M113" s="7">
        <v>1</v>
      </c>
      <c r="N113" s="15">
        <f t="shared" si="1"/>
        <v>22</v>
      </c>
    </row>
    <row r="114" spans="1:14" x14ac:dyDescent="0.25">
      <c r="A114" s="8">
        <v>5001</v>
      </c>
      <c r="B114" s="9">
        <v>1</v>
      </c>
      <c r="C114" s="9">
        <v>21</v>
      </c>
      <c r="D114" s="10">
        <v>20.338326446280991</v>
      </c>
      <c r="E114" s="11">
        <v>17</v>
      </c>
      <c r="F114" s="9">
        <v>1</v>
      </c>
      <c r="G114" s="11">
        <v>2</v>
      </c>
      <c r="H114" s="15">
        <v>23</v>
      </c>
      <c r="I114" s="14">
        <v>22.5</v>
      </c>
      <c r="J114" s="15">
        <f t="shared" si="2"/>
        <v>-0.5</v>
      </c>
      <c r="K114" s="15">
        <f t="shared" si="3"/>
        <v>0.67000000000000171</v>
      </c>
      <c r="L114" s="16">
        <v>23.67</v>
      </c>
      <c r="M114" s="17">
        <v>1</v>
      </c>
      <c r="N114" s="15">
        <f t="shared" si="1"/>
        <v>21.5</v>
      </c>
    </row>
    <row r="115" spans="1:14" x14ac:dyDescent="0.25">
      <c r="A115" s="7">
        <v>6021</v>
      </c>
      <c r="B115" s="7">
        <v>1</v>
      </c>
      <c r="C115" s="7">
        <v>26</v>
      </c>
      <c r="D115" s="10">
        <v>23.808690171912751</v>
      </c>
      <c r="E115" s="11">
        <v>24</v>
      </c>
      <c r="F115" s="9">
        <v>2</v>
      </c>
      <c r="G115" s="11">
        <v>3</v>
      </c>
      <c r="H115" s="15">
        <v>24.25</v>
      </c>
      <c r="I115" s="13">
        <v>22</v>
      </c>
      <c r="J115" s="15">
        <f t="shared" si="2"/>
        <v>-2.25</v>
      </c>
      <c r="K115" s="15">
        <f t="shared" si="3"/>
        <v>2.321428571428573</v>
      </c>
      <c r="L115" s="16">
        <v>26.571428571428573</v>
      </c>
      <c r="M115" s="7">
        <v>2</v>
      </c>
      <c r="N115" s="15">
        <f t="shared" si="1"/>
        <v>21</v>
      </c>
    </row>
    <row r="116" spans="1:14" x14ac:dyDescent="0.25">
      <c r="A116" s="8">
        <v>6043</v>
      </c>
      <c r="B116" s="8">
        <v>1</v>
      </c>
      <c r="C116" s="8">
        <v>27</v>
      </c>
      <c r="D116" s="10">
        <v>20.13476871862332</v>
      </c>
      <c r="E116" s="11">
        <v>27</v>
      </c>
      <c r="F116" s="9">
        <v>2</v>
      </c>
      <c r="G116" s="11">
        <v>1</v>
      </c>
      <c r="H116" s="15">
        <v>23.75</v>
      </c>
      <c r="I116" s="13">
        <v>23.5</v>
      </c>
      <c r="J116" s="15">
        <f t="shared" si="2"/>
        <v>-0.25</v>
      </c>
      <c r="K116" s="15">
        <f t="shared" si="3"/>
        <v>2.8599999999999994</v>
      </c>
      <c r="L116" s="16">
        <v>26.61</v>
      </c>
      <c r="M116" s="8">
        <v>2</v>
      </c>
      <c r="N116" s="15">
        <f t="shared" si="1"/>
        <v>22.5</v>
      </c>
    </row>
    <row r="117" spans="1:14" x14ac:dyDescent="0.25">
      <c r="A117" s="8">
        <v>6062</v>
      </c>
      <c r="B117" s="8">
        <v>2</v>
      </c>
      <c r="C117" s="8">
        <v>29</v>
      </c>
      <c r="D117" s="10">
        <v>25.95155709342561</v>
      </c>
      <c r="E117" s="11">
        <v>23</v>
      </c>
      <c r="F117" s="9">
        <v>2</v>
      </c>
      <c r="G117" s="11">
        <v>2</v>
      </c>
      <c r="H117" s="15">
        <v>20.75</v>
      </c>
      <c r="I117" s="13">
        <v>20</v>
      </c>
      <c r="J117" s="15">
        <f t="shared" si="2"/>
        <v>-0.75</v>
      </c>
      <c r="K117" s="15">
        <f t="shared" si="3"/>
        <v>4.3900000000000006</v>
      </c>
      <c r="L117" s="16">
        <v>25.14</v>
      </c>
      <c r="M117" s="8">
        <v>2</v>
      </c>
      <c r="N117" s="15">
        <f t="shared" si="1"/>
        <v>19</v>
      </c>
    </row>
    <row r="118" spans="1:14" x14ac:dyDescent="0.25">
      <c r="M118" s="18"/>
    </row>
  </sheetData>
  <autoFilter ref="A1:M11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4"/>
  <sheetViews>
    <sheetView tabSelected="1" workbookViewId="0">
      <selection activeCell="C18" sqref="C18"/>
    </sheetView>
  </sheetViews>
  <sheetFormatPr defaultRowHeight="15" x14ac:dyDescent="0.25"/>
  <cols>
    <col min="1" max="1" width="26" bestFit="1" customWidth="1"/>
    <col min="2" max="2" width="2" bestFit="1" customWidth="1"/>
    <col min="3" max="3" width="46" customWidth="1"/>
    <col min="4" max="4" width="2" bestFit="1" customWidth="1"/>
    <col min="5" max="5" width="12.7109375" bestFit="1" customWidth="1"/>
    <col min="6" max="6" width="2" bestFit="1" customWidth="1"/>
    <col min="8" max="8" width="2" bestFit="1" customWidth="1"/>
  </cols>
  <sheetData>
    <row r="2" spans="1:14" x14ac:dyDescent="0.25">
      <c r="A2" t="s">
        <v>0</v>
      </c>
    </row>
    <row r="3" spans="1:14" x14ac:dyDescent="0.25">
      <c r="A3" s="4" t="s">
        <v>1</v>
      </c>
      <c r="B3">
        <v>1</v>
      </c>
      <c r="C3" t="s">
        <v>141</v>
      </c>
      <c r="D3">
        <v>2</v>
      </c>
      <c r="E3" t="s">
        <v>142</v>
      </c>
      <c r="M3" s="4"/>
      <c r="N3" t="s">
        <v>185</v>
      </c>
    </row>
    <row r="4" spans="1:14" x14ac:dyDescent="0.25">
      <c r="A4" s="4" t="s">
        <v>2</v>
      </c>
      <c r="C4" t="s">
        <v>144</v>
      </c>
      <c r="M4" s="2"/>
      <c r="N4" t="s">
        <v>186</v>
      </c>
    </row>
    <row r="5" spans="1:14" x14ac:dyDescent="0.25">
      <c r="A5" s="4" t="s">
        <v>3</v>
      </c>
      <c r="C5" t="s">
        <v>143</v>
      </c>
      <c r="M5" s="5"/>
      <c r="N5" t="s">
        <v>187</v>
      </c>
    </row>
    <row r="6" spans="1:14" x14ac:dyDescent="0.25">
      <c r="A6" s="4" t="s">
        <v>4</v>
      </c>
      <c r="C6" t="s">
        <v>145</v>
      </c>
    </row>
    <row r="7" spans="1:14" x14ac:dyDescent="0.25">
      <c r="A7" s="4" t="s">
        <v>5</v>
      </c>
      <c r="C7" t="s">
        <v>146</v>
      </c>
    </row>
    <row r="8" spans="1:14" x14ac:dyDescent="0.25">
      <c r="A8" s="4" t="s">
        <v>6</v>
      </c>
      <c r="B8">
        <v>1</v>
      </c>
      <c r="C8" t="s">
        <v>148</v>
      </c>
      <c r="D8">
        <v>2</v>
      </c>
      <c r="E8" t="s">
        <v>147</v>
      </c>
    </row>
    <row r="9" spans="1:14" x14ac:dyDescent="0.25">
      <c r="A9" s="4" t="s">
        <v>7</v>
      </c>
      <c r="C9" t="s">
        <v>149</v>
      </c>
    </row>
    <row r="10" spans="1:14" x14ac:dyDescent="0.25">
      <c r="A10" s="4" t="s">
        <v>8</v>
      </c>
      <c r="C10" t="s">
        <v>150</v>
      </c>
    </row>
    <row r="11" spans="1:14" x14ac:dyDescent="0.25">
      <c r="A11" s="4" t="s">
        <v>9</v>
      </c>
      <c r="B11">
        <v>1</v>
      </c>
      <c r="C11" t="s">
        <v>151</v>
      </c>
      <c r="D11">
        <v>2</v>
      </c>
      <c r="E11" t="s">
        <v>152</v>
      </c>
      <c r="F11">
        <v>3</v>
      </c>
      <c r="G11" t="s">
        <v>153</v>
      </c>
    </row>
    <row r="12" spans="1:14" x14ac:dyDescent="0.25">
      <c r="A12" s="4" t="s">
        <v>10</v>
      </c>
      <c r="B12">
        <v>1</v>
      </c>
      <c r="C12" t="s">
        <v>154</v>
      </c>
      <c r="D12">
        <v>2</v>
      </c>
      <c r="E12" t="s">
        <v>155</v>
      </c>
      <c r="F12">
        <v>3</v>
      </c>
      <c r="G12" t="s">
        <v>156</v>
      </c>
    </row>
    <row r="13" spans="1:14" x14ac:dyDescent="0.25">
      <c r="A13" s="4" t="s">
        <v>11</v>
      </c>
      <c r="B13">
        <v>1</v>
      </c>
      <c r="C13" t="s">
        <v>157</v>
      </c>
      <c r="D13">
        <v>2</v>
      </c>
      <c r="E13" t="s">
        <v>158</v>
      </c>
      <c r="F13">
        <v>3</v>
      </c>
      <c r="G13" t="s">
        <v>159</v>
      </c>
    </row>
    <row r="14" spans="1:14" x14ac:dyDescent="0.25">
      <c r="A14" s="4" t="s">
        <v>12</v>
      </c>
    </row>
    <row r="15" spans="1:14" x14ac:dyDescent="0.25">
      <c r="A15" s="2" t="s">
        <v>13</v>
      </c>
    </row>
    <row r="16" spans="1:14" x14ac:dyDescent="0.25">
      <c r="A16" s="4" t="s">
        <v>14</v>
      </c>
      <c r="C16" t="s">
        <v>160</v>
      </c>
    </row>
    <row r="17" spans="1:9" x14ac:dyDescent="0.25">
      <c r="A17" s="4" t="s">
        <v>15</v>
      </c>
      <c r="C17" t="s">
        <v>161</v>
      </c>
    </row>
    <row r="18" spans="1:9" x14ac:dyDescent="0.25">
      <c r="A18" s="4" t="s">
        <v>222</v>
      </c>
      <c r="C18" t="s">
        <v>236</v>
      </c>
    </row>
    <row r="19" spans="1:9" x14ac:dyDescent="0.25">
      <c r="A19" s="4" t="s">
        <v>16</v>
      </c>
      <c r="C19" t="s">
        <v>162</v>
      </c>
    </row>
    <row r="20" spans="1:9" x14ac:dyDescent="0.25">
      <c r="A20" s="4" t="s">
        <v>17</v>
      </c>
    </row>
    <row r="21" spans="1:9" x14ac:dyDescent="0.25">
      <c r="A21" s="4" t="s">
        <v>18</v>
      </c>
    </row>
    <row r="22" spans="1:9" x14ac:dyDescent="0.25">
      <c r="A22" s="4" t="s">
        <v>19</v>
      </c>
    </row>
    <row r="23" spans="1:9" x14ac:dyDescent="0.25">
      <c r="A23" s="4" t="s">
        <v>20</v>
      </c>
      <c r="C23" t="s">
        <v>163</v>
      </c>
    </row>
    <row r="24" spans="1:9" x14ac:dyDescent="0.25">
      <c r="A24" s="4" t="s">
        <v>21</v>
      </c>
      <c r="B24">
        <v>1</v>
      </c>
      <c r="C24" t="s">
        <v>164</v>
      </c>
      <c r="D24">
        <v>2</v>
      </c>
      <c r="E24" t="s">
        <v>165</v>
      </c>
    </row>
    <row r="25" spans="1:9" x14ac:dyDescent="0.25">
      <c r="A25" s="4" t="s">
        <v>22</v>
      </c>
      <c r="C25" t="s">
        <v>166</v>
      </c>
    </row>
    <row r="26" spans="1:9" x14ac:dyDescent="0.25">
      <c r="A26" s="4" t="s">
        <v>23</v>
      </c>
      <c r="C26" t="s">
        <v>167</v>
      </c>
    </row>
    <row r="27" spans="1:9" x14ac:dyDescent="0.25">
      <c r="A27" s="4" t="s">
        <v>24</v>
      </c>
      <c r="C27" t="s">
        <v>168</v>
      </c>
    </row>
    <row r="28" spans="1:9" x14ac:dyDescent="0.25">
      <c r="A28" s="4" t="s">
        <v>25</v>
      </c>
      <c r="B28">
        <v>1</v>
      </c>
      <c r="C28" t="s">
        <v>169</v>
      </c>
      <c r="D28">
        <v>2</v>
      </c>
      <c r="E28" t="s">
        <v>170</v>
      </c>
      <c r="F28">
        <v>3</v>
      </c>
      <c r="G28" t="s">
        <v>155</v>
      </c>
      <c r="H28">
        <v>4</v>
      </c>
      <c r="I28" t="s">
        <v>156</v>
      </c>
    </row>
    <row r="29" spans="1:9" x14ac:dyDescent="0.25">
      <c r="A29" s="4" t="s">
        <v>26</v>
      </c>
      <c r="C29" t="s">
        <v>171</v>
      </c>
    </row>
    <row r="30" spans="1:9" x14ac:dyDescent="0.25">
      <c r="A30" s="4" t="s">
        <v>27</v>
      </c>
      <c r="C30" t="s">
        <v>172</v>
      </c>
    </row>
    <row r="31" spans="1:9" x14ac:dyDescent="0.25">
      <c r="A31" s="4" t="s">
        <v>28</v>
      </c>
      <c r="C31" t="s">
        <v>173</v>
      </c>
    </row>
    <row r="32" spans="1:9" x14ac:dyDescent="0.25">
      <c r="A32" s="4" t="s">
        <v>29</v>
      </c>
      <c r="C32" t="s">
        <v>174</v>
      </c>
    </row>
    <row r="33" spans="1:5" x14ac:dyDescent="0.25">
      <c r="A33" s="4" t="s">
        <v>30</v>
      </c>
      <c r="C33" t="s">
        <v>175</v>
      </c>
    </row>
    <row r="34" spans="1:5" x14ac:dyDescent="0.25">
      <c r="A34" s="4" t="s">
        <v>31</v>
      </c>
      <c r="C34" t="s">
        <v>176</v>
      </c>
    </row>
    <row r="35" spans="1:5" x14ac:dyDescent="0.25">
      <c r="A35" s="4" t="s">
        <v>32</v>
      </c>
      <c r="C35" t="s">
        <v>177</v>
      </c>
    </row>
    <row r="36" spans="1:5" x14ac:dyDescent="0.25">
      <c r="A36" s="4" t="s">
        <v>33</v>
      </c>
      <c r="C36" t="s">
        <v>178</v>
      </c>
    </row>
    <row r="37" spans="1:5" x14ac:dyDescent="0.25">
      <c r="A37" s="4" t="s">
        <v>34</v>
      </c>
      <c r="B37">
        <v>1</v>
      </c>
      <c r="C37" t="s">
        <v>179</v>
      </c>
      <c r="D37">
        <v>2</v>
      </c>
      <c r="E37" t="s">
        <v>180</v>
      </c>
    </row>
    <row r="38" spans="1:5" x14ac:dyDescent="0.25">
      <c r="A38" s="4" t="s">
        <v>35</v>
      </c>
      <c r="C38" t="s">
        <v>181</v>
      </c>
    </row>
    <row r="39" spans="1:5" x14ac:dyDescent="0.25">
      <c r="A39" s="4" t="s">
        <v>36</v>
      </c>
      <c r="C39" t="s">
        <v>182</v>
      </c>
    </row>
    <row r="40" spans="1:5" x14ac:dyDescent="0.25">
      <c r="A40" s="4" t="s">
        <v>37</v>
      </c>
      <c r="C40" t="s">
        <v>183</v>
      </c>
    </row>
    <row r="41" spans="1:5" x14ac:dyDescent="0.25">
      <c r="A41" s="4" t="s">
        <v>38</v>
      </c>
      <c r="C41" t="s">
        <v>184</v>
      </c>
    </row>
    <row r="42" spans="1:5" x14ac:dyDescent="0.25">
      <c r="A42" s="4" t="s">
        <v>39</v>
      </c>
    </row>
    <row r="43" spans="1:5" x14ac:dyDescent="0.25">
      <c r="A43" s="4" t="s">
        <v>40</v>
      </c>
    </row>
    <row r="44" spans="1:5" x14ac:dyDescent="0.25">
      <c r="A44" s="2" t="s">
        <v>41</v>
      </c>
      <c r="C44" t="s">
        <v>163</v>
      </c>
    </row>
    <row r="45" spans="1:5" x14ac:dyDescent="0.25">
      <c r="A45" s="2" t="s">
        <v>42</v>
      </c>
      <c r="B45">
        <v>1</v>
      </c>
      <c r="C45" t="s">
        <v>164</v>
      </c>
      <c r="D45">
        <v>2</v>
      </c>
      <c r="E45" t="s">
        <v>165</v>
      </c>
    </row>
    <row r="46" spans="1:5" x14ac:dyDescent="0.25">
      <c r="A46" s="2" t="s">
        <v>43</v>
      </c>
      <c r="C46" t="s">
        <v>166</v>
      </c>
    </row>
    <row r="47" spans="1:5" x14ac:dyDescent="0.25">
      <c r="A47" s="2" t="s">
        <v>44</v>
      </c>
      <c r="C47" t="s">
        <v>167</v>
      </c>
    </row>
    <row r="48" spans="1:5" x14ac:dyDescent="0.25">
      <c r="A48" s="2" t="s">
        <v>45</v>
      </c>
      <c r="C48" t="s">
        <v>168</v>
      </c>
    </row>
    <row r="49" spans="1:9" x14ac:dyDescent="0.25">
      <c r="A49" s="2" t="s">
        <v>46</v>
      </c>
      <c r="C49" t="s">
        <v>169</v>
      </c>
      <c r="D49">
        <v>2</v>
      </c>
      <c r="E49" t="s">
        <v>170</v>
      </c>
      <c r="F49">
        <v>3</v>
      </c>
      <c r="G49" t="s">
        <v>155</v>
      </c>
      <c r="H49">
        <v>4</v>
      </c>
      <c r="I49" t="s">
        <v>156</v>
      </c>
    </row>
    <row r="50" spans="1:9" x14ac:dyDescent="0.25">
      <c r="A50" s="2" t="s">
        <v>47</v>
      </c>
      <c r="C50" t="s">
        <v>171</v>
      </c>
    </row>
    <row r="51" spans="1:9" x14ac:dyDescent="0.25">
      <c r="A51" s="2" t="s">
        <v>48</v>
      </c>
      <c r="C51" t="s">
        <v>172</v>
      </c>
    </row>
    <row r="52" spans="1:9" x14ac:dyDescent="0.25">
      <c r="A52" s="2" t="s">
        <v>49</v>
      </c>
      <c r="C52" t="s">
        <v>173</v>
      </c>
    </row>
    <row r="53" spans="1:9" x14ac:dyDescent="0.25">
      <c r="A53" s="2" t="s">
        <v>50</v>
      </c>
      <c r="C53" t="s">
        <v>174</v>
      </c>
    </row>
    <row r="54" spans="1:9" x14ac:dyDescent="0.25">
      <c r="A54" s="2" t="s">
        <v>51</v>
      </c>
      <c r="C54" t="s">
        <v>175</v>
      </c>
    </row>
    <row r="55" spans="1:9" x14ac:dyDescent="0.25">
      <c r="A55" s="2" t="s">
        <v>52</v>
      </c>
      <c r="C55" t="s">
        <v>176</v>
      </c>
    </row>
    <row r="56" spans="1:9" x14ac:dyDescent="0.25">
      <c r="A56" s="2" t="s">
        <v>53</v>
      </c>
      <c r="C56" t="s">
        <v>177</v>
      </c>
    </row>
    <row r="57" spans="1:9" x14ac:dyDescent="0.25">
      <c r="A57" s="2" t="s">
        <v>54</v>
      </c>
      <c r="C57" t="s">
        <v>178</v>
      </c>
    </row>
    <row r="58" spans="1:9" x14ac:dyDescent="0.25">
      <c r="A58" s="2" t="s">
        <v>55</v>
      </c>
      <c r="B58">
        <v>1</v>
      </c>
      <c r="C58" t="s">
        <v>179</v>
      </c>
      <c r="D58">
        <v>2</v>
      </c>
      <c r="E58" t="s">
        <v>180</v>
      </c>
    </row>
    <row r="59" spans="1:9" x14ac:dyDescent="0.25">
      <c r="A59" s="2" t="s">
        <v>56</v>
      </c>
      <c r="C59" t="s">
        <v>181</v>
      </c>
    </row>
    <row r="60" spans="1:9" x14ac:dyDescent="0.25">
      <c r="A60" s="2" t="s">
        <v>57</v>
      </c>
      <c r="C60" t="s">
        <v>182</v>
      </c>
    </row>
    <row r="61" spans="1:9" x14ac:dyDescent="0.25">
      <c r="A61" s="2" t="s">
        <v>58</v>
      </c>
      <c r="C61" t="s">
        <v>183</v>
      </c>
    </row>
    <row r="62" spans="1:9" x14ac:dyDescent="0.25">
      <c r="A62" s="2" t="s">
        <v>59</v>
      </c>
      <c r="C62" t="s">
        <v>184</v>
      </c>
    </row>
    <row r="63" spans="1:9" x14ac:dyDescent="0.25">
      <c r="A63" s="2" t="s">
        <v>60</v>
      </c>
      <c r="C63" t="s">
        <v>188</v>
      </c>
    </row>
    <row r="64" spans="1:9" x14ac:dyDescent="0.25">
      <c r="A64" s="2" t="s">
        <v>61</v>
      </c>
      <c r="C64" t="s">
        <v>188</v>
      </c>
    </row>
    <row r="65" spans="1:7" x14ac:dyDescent="0.25">
      <c r="A65" s="4" t="s">
        <v>62</v>
      </c>
      <c r="C65" t="s">
        <v>189</v>
      </c>
    </row>
    <row r="66" spans="1:7" x14ac:dyDescent="0.25">
      <c r="A66" s="4" t="s">
        <v>63</v>
      </c>
      <c r="C66" t="s">
        <v>189</v>
      </c>
      <c r="D66">
        <v>1</v>
      </c>
      <c r="E66" s="1" t="s">
        <v>191</v>
      </c>
      <c r="F66">
        <v>2</v>
      </c>
      <c r="G66" s="6" t="s">
        <v>192</v>
      </c>
    </row>
    <row r="67" spans="1:7" x14ac:dyDescent="0.25">
      <c r="A67" s="4" t="s">
        <v>64</v>
      </c>
      <c r="C67" t="s">
        <v>189</v>
      </c>
      <c r="D67">
        <v>1</v>
      </c>
      <c r="E67" s="1" t="s">
        <v>193</v>
      </c>
      <c r="F67">
        <v>2</v>
      </c>
      <c r="G67" s="6" t="s">
        <v>194</v>
      </c>
    </row>
    <row r="68" spans="1:7" x14ac:dyDescent="0.25">
      <c r="A68" s="4" t="s">
        <v>65</v>
      </c>
      <c r="C68" t="s">
        <v>195</v>
      </c>
    </row>
    <row r="69" spans="1:7" x14ac:dyDescent="0.25">
      <c r="A69" s="4" t="s">
        <v>66</v>
      </c>
      <c r="C69" t="s">
        <v>195</v>
      </c>
      <c r="D69">
        <v>1</v>
      </c>
      <c r="E69" s="1" t="s">
        <v>191</v>
      </c>
      <c r="F69">
        <v>2</v>
      </c>
      <c r="G69" s="6" t="s">
        <v>192</v>
      </c>
    </row>
    <row r="70" spans="1:7" x14ac:dyDescent="0.25">
      <c r="A70" s="4" t="s">
        <v>67</v>
      </c>
      <c r="C70" t="s">
        <v>195</v>
      </c>
      <c r="D70">
        <v>1</v>
      </c>
      <c r="E70" s="1" t="s">
        <v>193</v>
      </c>
      <c r="F70">
        <v>2</v>
      </c>
      <c r="G70" s="6" t="s">
        <v>194</v>
      </c>
    </row>
    <row r="71" spans="1:7" x14ac:dyDescent="0.25">
      <c r="A71" s="4" t="s">
        <v>68</v>
      </c>
      <c r="C71" t="s">
        <v>190</v>
      </c>
    </row>
    <row r="72" spans="1:7" x14ac:dyDescent="0.25">
      <c r="A72" s="4" t="s">
        <v>69</v>
      </c>
      <c r="C72" t="s">
        <v>190</v>
      </c>
      <c r="D72">
        <v>1</v>
      </c>
      <c r="E72" s="1" t="s">
        <v>193</v>
      </c>
      <c r="F72">
        <v>2</v>
      </c>
      <c r="G72" s="6" t="s">
        <v>194</v>
      </c>
    </row>
    <row r="73" spans="1:7" x14ac:dyDescent="0.25">
      <c r="A73" s="4" t="s">
        <v>70</v>
      </c>
      <c r="C73" t="s">
        <v>190</v>
      </c>
      <c r="D73">
        <v>1</v>
      </c>
      <c r="E73" s="1" t="s">
        <v>191</v>
      </c>
      <c r="F73">
        <v>2</v>
      </c>
      <c r="G73" s="6" t="s">
        <v>192</v>
      </c>
    </row>
    <row r="74" spans="1:7" x14ac:dyDescent="0.25">
      <c r="A74" s="4" t="s">
        <v>71</v>
      </c>
      <c r="C74" t="s">
        <v>196</v>
      </c>
    </row>
    <row r="75" spans="1:7" x14ac:dyDescent="0.25">
      <c r="A75" s="4" t="s">
        <v>72</v>
      </c>
    </row>
    <row r="76" spans="1:7" x14ac:dyDescent="0.25">
      <c r="A76" s="4" t="s">
        <v>73</v>
      </c>
      <c r="C76" t="s">
        <v>197</v>
      </c>
    </row>
    <row r="77" spans="1:7" x14ac:dyDescent="0.25">
      <c r="A77" s="4" t="s">
        <v>74</v>
      </c>
      <c r="C77" t="s">
        <v>198</v>
      </c>
    </row>
    <row r="78" spans="1:7" x14ac:dyDescent="0.25">
      <c r="A78" s="4" t="s">
        <v>75</v>
      </c>
      <c r="C78" t="s">
        <v>198</v>
      </c>
      <c r="D78">
        <v>1</v>
      </c>
      <c r="E78" t="s">
        <v>193</v>
      </c>
      <c r="F78">
        <v>2</v>
      </c>
      <c r="G78" t="s">
        <v>194</v>
      </c>
    </row>
    <row r="79" spans="1:7" x14ac:dyDescent="0.25">
      <c r="A79" s="4" t="s">
        <v>76</v>
      </c>
      <c r="D79">
        <v>1</v>
      </c>
      <c r="E79" t="s">
        <v>148</v>
      </c>
      <c r="F79">
        <v>2</v>
      </c>
      <c r="G79" t="s">
        <v>147</v>
      </c>
    </row>
    <row r="80" spans="1:7" x14ac:dyDescent="0.25">
      <c r="A80" s="2" t="s">
        <v>77</v>
      </c>
    </row>
    <row r="81" spans="1:1" x14ac:dyDescent="0.25">
      <c r="A81" s="2" t="s">
        <v>78</v>
      </c>
    </row>
    <row r="82" spans="1:1" x14ac:dyDescent="0.25">
      <c r="A82" s="2" t="s">
        <v>79</v>
      </c>
    </row>
    <row r="83" spans="1:1" x14ac:dyDescent="0.25">
      <c r="A83" s="2" t="s">
        <v>80</v>
      </c>
    </row>
    <row r="84" spans="1:1" x14ac:dyDescent="0.25">
      <c r="A84" s="2" t="s">
        <v>81</v>
      </c>
    </row>
    <row r="85" spans="1:1" x14ac:dyDescent="0.25">
      <c r="A85" s="2" t="s">
        <v>82</v>
      </c>
    </row>
    <row r="86" spans="1:1" x14ac:dyDescent="0.25">
      <c r="A86" s="5" t="s">
        <v>83</v>
      </c>
    </row>
    <row r="87" spans="1:1" x14ac:dyDescent="0.25">
      <c r="A87" s="5" t="s">
        <v>84</v>
      </c>
    </row>
    <row r="88" spans="1:1" x14ac:dyDescent="0.25">
      <c r="A88" s="5" t="s">
        <v>85</v>
      </c>
    </row>
    <row r="89" spans="1:1" x14ac:dyDescent="0.25">
      <c r="A89" s="5" t="s">
        <v>86</v>
      </c>
    </row>
    <row r="90" spans="1:1" x14ac:dyDescent="0.25">
      <c r="A90" s="5" t="s">
        <v>87</v>
      </c>
    </row>
    <row r="91" spans="1:1" x14ac:dyDescent="0.25">
      <c r="A91" s="5" t="s">
        <v>88</v>
      </c>
    </row>
    <row r="92" spans="1:1" x14ac:dyDescent="0.25">
      <c r="A92" s="5" t="s">
        <v>89</v>
      </c>
    </row>
    <row r="93" spans="1:1" x14ac:dyDescent="0.25">
      <c r="A93" s="5" t="s">
        <v>90</v>
      </c>
    </row>
    <row r="94" spans="1:1" x14ac:dyDescent="0.25">
      <c r="A94" s="5" t="s">
        <v>91</v>
      </c>
    </row>
    <row r="95" spans="1:1" x14ac:dyDescent="0.25">
      <c r="A95" s="5" t="s">
        <v>92</v>
      </c>
    </row>
    <row r="96" spans="1:1" x14ac:dyDescent="0.25">
      <c r="A96" s="2" t="s">
        <v>93</v>
      </c>
    </row>
    <row r="97" spans="1:1" x14ac:dyDescent="0.25">
      <c r="A97" s="3" t="s">
        <v>94</v>
      </c>
    </row>
    <row r="98" spans="1:1" x14ac:dyDescent="0.25">
      <c r="A98" s="3" t="s">
        <v>95</v>
      </c>
    </row>
    <row r="99" spans="1:1" x14ac:dyDescent="0.25">
      <c r="A99" s="2" t="s">
        <v>96</v>
      </c>
    </row>
    <row r="100" spans="1:1" x14ac:dyDescent="0.25">
      <c r="A100" s="3" t="s">
        <v>97</v>
      </c>
    </row>
    <row r="101" spans="1:1" x14ac:dyDescent="0.25">
      <c r="A101" s="2" t="s">
        <v>98</v>
      </c>
    </row>
    <row r="102" spans="1:1" x14ac:dyDescent="0.25">
      <c r="A102" s="5" t="s">
        <v>223</v>
      </c>
    </row>
    <row r="103" spans="1:1" x14ac:dyDescent="0.25">
      <c r="A103" s="5" t="s">
        <v>202</v>
      </c>
    </row>
    <row r="104" spans="1:1" x14ac:dyDescent="0.25">
      <c r="A104" s="5" t="s">
        <v>203</v>
      </c>
    </row>
    <row r="105" spans="1:1" x14ac:dyDescent="0.25">
      <c r="A105" s="5" t="s">
        <v>204</v>
      </c>
    </row>
    <row r="106" spans="1:1" x14ac:dyDescent="0.25">
      <c r="A106" s="5" t="s">
        <v>205</v>
      </c>
    </row>
    <row r="107" spans="1:1" x14ac:dyDescent="0.25">
      <c r="A107" s="5" t="s">
        <v>206</v>
      </c>
    </row>
    <row r="108" spans="1:1" x14ac:dyDescent="0.25">
      <c r="A108" s="5" t="s">
        <v>207</v>
      </c>
    </row>
    <row r="109" spans="1:1" x14ac:dyDescent="0.25">
      <c r="A109" s="5" t="s">
        <v>208</v>
      </c>
    </row>
    <row r="110" spans="1:1" x14ac:dyDescent="0.25">
      <c r="A110" s="5" t="s">
        <v>209</v>
      </c>
    </row>
    <row r="111" spans="1:1" x14ac:dyDescent="0.25">
      <c r="A111" s="5" t="s">
        <v>210</v>
      </c>
    </row>
    <row r="112" spans="1:1" x14ac:dyDescent="0.25">
      <c r="A112" s="5" t="s">
        <v>211</v>
      </c>
    </row>
    <row r="113" spans="1:1" x14ac:dyDescent="0.25">
      <c r="A113" s="5" t="s">
        <v>212</v>
      </c>
    </row>
    <row r="114" spans="1:1" x14ac:dyDescent="0.25">
      <c r="A114" s="5" t="s">
        <v>213</v>
      </c>
    </row>
    <row r="115" spans="1:1" x14ac:dyDescent="0.25">
      <c r="A115" s="5" t="s">
        <v>214</v>
      </c>
    </row>
    <row r="116" spans="1:1" x14ac:dyDescent="0.25">
      <c r="A116" s="5" t="s">
        <v>215</v>
      </c>
    </row>
    <row r="117" spans="1:1" x14ac:dyDescent="0.25">
      <c r="A117" s="5" t="s">
        <v>216</v>
      </c>
    </row>
    <row r="118" spans="1:1" x14ac:dyDescent="0.25">
      <c r="A118" s="5" t="s">
        <v>217</v>
      </c>
    </row>
    <row r="119" spans="1:1" x14ac:dyDescent="0.25">
      <c r="A119" s="5" t="s">
        <v>218</v>
      </c>
    </row>
    <row r="120" spans="1:1" x14ac:dyDescent="0.25">
      <c r="A120" s="5" t="s">
        <v>219</v>
      </c>
    </row>
    <row r="121" spans="1:1" x14ac:dyDescent="0.25">
      <c r="A121" s="5" t="s">
        <v>220</v>
      </c>
    </row>
    <row r="122" spans="1:1" x14ac:dyDescent="0.25">
      <c r="A122" s="5" t="s">
        <v>221</v>
      </c>
    </row>
    <row r="123" spans="1:1" x14ac:dyDescent="0.25">
      <c r="A123" s="5" t="s">
        <v>99</v>
      </c>
    </row>
    <row r="124" spans="1:1" x14ac:dyDescent="0.25">
      <c r="A124" s="5" t="s">
        <v>100</v>
      </c>
    </row>
    <row r="125" spans="1:1" x14ac:dyDescent="0.25">
      <c r="A125" s="5" t="s">
        <v>101</v>
      </c>
    </row>
    <row r="126" spans="1:1" x14ac:dyDescent="0.25">
      <c r="A126" s="5" t="s">
        <v>102</v>
      </c>
    </row>
    <row r="127" spans="1:1" x14ac:dyDescent="0.25">
      <c r="A127" s="5" t="s">
        <v>103</v>
      </c>
    </row>
    <row r="128" spans="1:1" x14ac:dyDescent="0.25">
      <c r="A128" s="5" t="s">
        <v>104</v>
      </c>
    </row>
    <row r="129" spans="1:1" x14ac:dyDescent="0.25">
      <c r="A129" s="5" t="s">
        <v>105</v>
      </c>
    </row>
    <row r="130" spans="1:1" x14ac:dyDescent="0.25">
      <c r="A130" s="5" t="s">
        <v>106</v>
      </c>
    </row>
    <row r="131" spans="1:1" x14ac:dyDescent="0.25">
      <c r="A131" s="5" t="s">
        <v>107</v>
      </c>
    </row>
    <row r="132" spans="1:1" x14ac:dyDescent="0.25">
      <c r="A132" s="5" t="s">
        <v>108</v>
      </c>
    </row>
    <row r="133" spans="1:1" x14ac:dyDescent="0.25">
      <c r="A133" s="5" t="s">
        <v>109</v>
      </c>
    </row>
    <row r="134" spans="1:1" x14ac:dyDescent="0.25">
      <c r="A134" s="5" t="s">
        <v>110</v>
      </c>
    </row>
    <row r="135" spans="1:1" x14ac:dyDescent="0.25">
      <c r="A135" s="5" t="s">
        <v>111</v>
      </c>
    </row>
    <row r="136" spans="1:1" x14ac:dyDescent="0.25">
      <c r="A136" s="5" t="s">
        <v>112</v>
      </c>
    </row>
    <row r="137" spans="1:1" x14ac:dyDescent="0.25">
      <c r="A137" s="5" t="s">
        <v>113</v>
      </c>
    </row>
    <row r="138" spans="1:1" x14ac:dyDescent="0.25">
      <c r="A138" s="5" t="s">
        <v>114</v>
      </c>
    </row>
    <row r="139" spans="1:1" x14ac:dyDescent="0.25">
      <c r="A139" s="5" t="s">
        <v>115</v>
      </c>
    </row>
    <row r="140" spans="1:1" x14ac:dyDescent="0.25">
      <c r="A140" s="5" t="s">
        <v>116</v>
      </c>
    </row>
    <row r="141" spans="1:1" x14ac:dyDescent="0.25">
      <c r="A141" s="5" t="s">
        <v>117</v>
      </c>
    </row>
    <row r="142" spans="1:1" x14ac:dyDescent="0.25">
      <c r="A142" s="5" t="s">
        <v>118</v>
      </c>
    </row>
    <row r="143" spans="1:1" x14ac:dyDescent="0.25">
      <c r="A143" s="5" t="s">
        <v>119</v>
      </c>
    </row>
    <row r="144" spans="1:1" x14ac:dyDescent="0.25">
      <c r="A144" s="5" t="s">
        <v>120</v>
      </c>
    </row>
    <row r="145" spans="1:1" x14ac:dyDescent="0.25">
      <c r="A145" s="5" t="s">
        <v>121</v>
      </c>
    </row>
    <row r="146" spans="1:1" x14ac:dyDescent="0.25">
      <c r="A146" s="5" t="s">
        <v>122</v>
      </c>
    </row>
    <row r="147" spans="1:1" x14ac:dyDescent="0.25">
      <c r="A147" s="5" t="s">
        <v>123</v>
      </c>
    </row>
    <row r="148" spans="1:1" x14ac:dyDescent="0.25">
      <c r="A148" s="5" t="s">
        <v>124</v>
      </c>
    </row>
    <row r="149" spans="1:1" x14ac:dyDescent="0.25">
      <c r="A149" s="5" t="s">
        <v>125</v>
      </c>
    </row>
    <row r="150" spans="1:1" x14ac:dyDescent="0.25">
      <c r="A150" s="5" t="s">
        <v>126</v>
      </c>
    </row>
    <row r="151" spans="1:1" x14ac:dyDescent="0.25">
      <c r="A151" s="5" t="s">
        <v>127</v>
      </c>
    </row>
    <row r="152" spans="1:1" x14ac:dyDescent="0.25">
      <c r="A152" s="5" t="s">
        <v>128</v>
      </c>
    </row>
    <row r="153" spans="1:1" x14ac:dyDescent="0.25">
      <c r="A153" s="5" t="s">
        <v>129</v>
      </c>
    </row>
    <row r="154" spans="1:1" x14ac:dyDescent="0.25">
      <c r="A154" s="5" t="s">
        <v>130</v>
      </c>
    </row>
    <row r="155" spans="1:1" x14ac:dyDescent="0.25">
      <c r="A155" s="5" t="s">
        <v>131</v>
      </c>
    </row>
    <row r="156" spans="1:1" x14ac:dyDescent="0.25">
      <c r="A156" s="5" t="s">
        <v>132</v>
      </c>
    </row>
    <row r="157" spans="1:1" x14ac:dyDescent="0.25">
      <c r="A157" s="5" t="s">
        <v>133</v>
      </c>
    </row>
    <row r="158" spans="1:1" x14ac:dyDescent="0.25">
      <c r="A158" s="5" t="s">
        <v>134</v>
      </c>
    </row>
    <row r="159" spans="1:1" x14ac:dyDescent="0.25">
      <c r="A159" s="5" t="s">
        <v>135</v>
      </c>
    </row>
    <row r="160" spans="1:1" x14ac:dyDescent="0.25">
      <c r="A160" s="5" t="s">
        <v>136</v>
      </c>
    </row>
    <row r="161" spans="1:1" x14ac:dyDescent="0.25">
      <c r="A161" s="5" t="s">
        <v>137</v>
      </c>
    </row>
    <row r="162" spans="1:1" x14ac:dyDescent="0.25">
      <c r="A162" s="5" t="s">
        <v>138</v>
      </c>
    </row>
    <row r="163" spans="1:1" x14ac:dyDescent="0.25">
      <c r="A163" s="5" t="s">
        <v>139</v>
      </c>
    </row>
    <row r="164" spans="1:1" x14ac:dyDescent="0.25">
      <c r="A164" s="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ITT_demographics</vt:lpstr>
      <vt:lpstr>demog_key</vt:lpstr>
    </vt:vector>
  </TitlesOfParts>
  <Company>Monash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Magee</dc:creator>
  <cp:lastModifiedBy>Tracey Sletten</cp:lastModifiedBy>
  <dcterms:created xsi:type="dcterms:W3CDTF">2015-10-08T01:03:21Z</dcterms:created>
  <dcterms:modified xsi:type="dcterms:W3CDTF">2018-05-07T07:01:26Z</dcterms:modified>
</cp:coreProperties>
</file>